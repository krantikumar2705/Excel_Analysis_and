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Krant\OneDrive\Desktop\"/>
    </mc:Choice>
  </mc:AlternateContent>
  <xr:revisionPtr revIDLastSave="0" documentId="13_ncr:1_{4CDD79A7-C18D-418E-999A-FF40FBC8464D}" xr6:coauthVersionLast="47" xr6:coauthVersionMax="47" xr10:uidLastSave="{00000000-0000-0000-0000-000000000000}"/>
  <bookViews>
    <workbookView xWindow="-108" yWindow="-108" windowWidth="23256" windowHeight="12456" activeTab="3" xr2:uid="{7EC617CA-5887-4C0C-984B-8BF75A02D83F}"/>
  </bookViews>
  <sheets>
    <sheet name="sales analysis" sheetId="1" r:id="rId1"/>
    <sheet name="Data analysis" sheetId="5" r:id="rId2"/>
    <sheet name="Dashboard" sheetId="7" r:id="rId3"/>
    <sheet name="Sheet1" sheetId="8" r:id="rId4"/>
  </sheets>
  <definedNames>
    <definedName name="Slicer_cm_customer_category1">#N/A</definedName>
    <definedName name="Slicer_cm_customer_segment2">#N/A</definedName>
    <definedName name="Slicer_dim_division">#N/A</definedName>
    <definedName name="Slicer_Financial_Year">#N/A</definedName>
    <definedName name="Slicer_SalesManager">#N/A</definedName>
    <definedName name="Slicer_SalesRegion">#N/A</definedName>
  </definedNames>
  <calcPr calcId="191029" iterateDelta="1E-4"/>
  <pivotCaches>
    <pivotCache cacheId="47"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69" i="1" l="1"/>
  <c r="L6" i="7" s="1"/>
  <c r="I6" i="7"/>
  <c r="F6" i="7"/>
  <c r="C6" i="7"/>
</calcChain>
</file>

<file path=xl/sharedStrings.xml><?xml version="1.0" encoding="utf-8"?>
<sst xmlns="http://schemas.openxmlformats.org/spreadsheetml/2006/main" count="6799" uniqueCount="1374">
  <si>
    <t>Financial Year</t>
  </si>
  <si>
    <t>inv_invoice_no</t>
  </si>
  <si>
    <t>inv_invoice_date</t>
  </si>
  <si>
    <t>so_date</t>
  </si>
  <si>
    <t>so_no</t>
  </si>
  <si>
    <t>cm_customer_code</t>
  </si>
  <si>
    <t>cm_customer_name</t>
  </si>
  <si>
    <t>cm_customer_category1</t>
  </si>
  <si>
    <t>cm_customer_channel1</t>
  </si>
  <si>
    <t>cm_customer_segment1</t>
  </si>
  <si>
    <t>cm_customer_segment2</t>
  </si>
  <si>
    <t>SalesRegion</t>
  </si>
  <si>
    <t>cm_customer_state</t>
  </si>
  <si>
    <t>cm_customer_city</t>
  </si>
  <si>
    <t>im_item_code1</t>
  </si>
  <si>
    <t>im_item_group1</t>
  </si>
  <si>
    <t>im_item_name</t>
  </si>
  <si>
    <t>dim_division</t>
  </si>
  <si>
    <t>dim_branch</t>
  </si>
  <si>
    <t>dim_dimension1</t>
  </si>
  <si>
    <t>dim_dimension2</t>
  </si>
  <si>
    <t>Quantity</t>
  </si>
  <si>
    <t>im_uom1</t>
  </si>
  <si>
    <t>Rate</t>
  </si>
  <si>
    <t>Sales</t>
  </si>
  <si>
    <t>so_document_currency</t>
  </si>
  <si>
    <t>so_gst_rate</t>
  </si>
  <si>
    <t>so_hsn_code</t>
  </si>
  <si>
    <t>GST Amount</t>
  </si>
  <si>
    <t>sam_sales_agent1</t>
  </si>
  <si>
    <t>cptm_payment_terms</t>
  </si>
  <si>
    <t>so_shipment_type</t>
  </si>
  <si>
    <t>SalesManager</t>
  </si>
  <si>
    <t>22-23</t>
  </si>
  <si>
    <t>GST/2223/001</t>
  </si>
  <si>
    <t>SOF2020001</t>
  </si>
  <si>
    <t>C0047</t>
  </si>
  <si>
    <t>Customer047</t>
  </si>
  <si>
    <t>Manufacturer</t>
  </si>
  <si>
    <t>Channel 1</t>
  </si>
  <si>
    <t>Power</t>
  </si>
  <si>
    <t>B2B</t>
  </si>
  <si>
    <t>North</t>
  </si>
  <si>
    <t>Maharashtra</t>
  </si>
  <si>
    <t>Mumbai</t>
  </si>
  <si>
    <t>Item1004ProductCC</t>
  </si>
  <si>
    <t>ItemGroup100</t>
  </si>
  <si>
    <t>ProductCC</t>
  </si>
  <si>
    <t>Division A</t>
  </si>
  <si>
    <t>Branch A</t>
  </si>
  <si>
    <t>RED</t>
  </si>
  <si>
    <t>LOTUS</t>
  </si>
  <si>
    <t>NOS</t>
  </si>
  <si>
    <t>INR</t>
  </si>
  <si>
    <t>Pankaj Sawant</t>
  </si>
  <si>
    <t>30 DAYS</t>
  </si>
  <si>
    <t>By Road</t>
  </si>
  <si>
    <t>Utkarsha Shinde</t>
  </si>
  <si>
    <t>GST/2223/002</t>
  </si>
  <si>
    <t>SOF2020002</t>
  </si>
  <si>
    <t>C0043</t>
  </si>
  <si>
    <t>Customer043</t>
  </si>
  <si>
    <t>Wholesaler</t>
  </si>
  <si>
    <t>Channel 2</t>
  </si>
  <si>
    <t>Oil &amp; Gas</t>
  </si>
  <si>
    <t>B2C</t>
  </si>
  <si>
    <t>Gujrat</t>
  </si>
  <si>
    <t>Ahmedabad</t>
  </si>
  <si>
    <t>Item1004ProductCA</t>
  </si>
  <si>
    <t>ProductCA</t>
  </si>
  <si>
    <t>Division C</t>
  </si>
  <si>
    <t>Branch B</t>
  </si>
  <si>
    <t>YELLOW</t>
  </si>
  <si>
    <t>ROSE</t>
  </si>
  <si>
    <t>Sandeep Kunde</t>
  </si>
  <si>
    <t>45 DAYS</t>
  </si>
  <si>
    <t>By Air</t>
  </si>
  <si>
    <t>Meera Patil</t>
  </si>
  <si>
    <t>Item5005ProductVV</t>
  </si>
  <si>
    <t>ItemGroup500</t>
  </si>
  <si>
    <t>ProductVV</t>
  </si>
  <si>
    <t>Item1001ProductAA</t>
  </si>
  <si>
    <t>ProductAA</t>
  </si>
  <si>
    <t>Item1001ProductAB</t>
  </si>
  <si>
    <t>ProductAB</t>
  </si>
  <si>
    <t>GST/2223/003</t>
  </si>
  <si>
    <t>SOF2020003</t>
  </si>
  <si>
    <t>C0050</t>
  </si>
  <si>
    <t>Customer050</t>
  </si>
  <si>
    <t>Railways</t>
  </si>
  <si>
    <t>Andhra Pradesh</t>
  </si>
  <si>
    <t>Kadapa</t>
  </si>
  <si>
    <t>Item5005ProductZZ</t>
  </si>
  <si>
    <t>ProductZZ</t>
  </si>
  <si>
    <t>Division B</t>
  </si>
  <si>
    <t>B. Karthikeyan</t>
  </si>
  <si>
    <t>100% AGAINST DELIVERY</t>
  </si>
  <si>
    <t>Ayush Khandelwal</t>
  </si>
  <si>
    <t>GST/2223/004</t>
  </si>
  <si>
    <t>SOF2020004</t>
  </si>
  <si>
    <t>C0055</t>
  </si>
  <si>
    <t>Customer055</t>
  </si>
  <si>
    <t>Defence</t>
  </si>
  <si>
    <t>Jharkhand</t>
  </si>
  <si>
    <t>Dhanbad</t>
  </si>
  <si>
    <t>Item5004ProductQQ</t>
  </si>
  <si>
    <t>ProductQQ</t>
  </si>
  <si>
    <t>Division D</t>
  </si>
  <si>
    <t>Vishal Patil</t>
  </si>
  <si>
    <t>By Vessel</t>
  </si>
  <si>
    <t>Item5001ProductRP</t>
  </si>
  <si>
    <t>ProductRP</t>
  </si>
  <si>
    <t>GST/2223/005</t>
  </si>
  <si>
    <t>SOF2020005</t>
  </si>
  <si>
    <t>C0008</t>
  </si>
  <si>
    <t>Customer008</t>
  </si>
  <si>
    <t>Shipping</t>
  </si>
  <si>
    <t>West</t>
  </si>
  <si>
    <t>Rajasthan</t>
  </si>
  <si>
    <t>Jaipur</t>
  </si>
  <si>
    <t>Item5001ProductUT</t>
  </si>
  <si>
    <t>ProductUT</t>
  </si>
  <si>
    <t>Division E</t>
  </si>
  <si>
    <t>Branch C</t>
  </si>
  <si>
    <t>PINK</t>
  </si>
  <si>
    <t>Nikesh Dave</t>
  </si>
  <si>
    <t>100% AGAINST PI</t>
  </si>
  <si>
    <t>Sharada Patel</t>
  </si>
  <si>
    <t>Item5001ProductTA</t>
  </si>
  <si>
    <t>ProductTA</t>
  </si>
  <si>
    <t>Item5001ProductLT</t>
  </si>
  <si>
    <t>ProductLT</t>
  </si>
  <si>
    <t>Item5002ProductVA</t>
  </si>
  <si>
    <t>ProductVA</t>
  </si>
  <si>
    <t>GST/2223/006</t>
  </si>
  <si>
    <t>SOS2020002</t>
  </si>
  <si>
    <t>C0012</t>
  </si>
  <si>
    <t>Customer012</t>
  </si>
  <si>
    <t>Retailer</t>
  </si>
  <si>
    <t>Commercial Establishment</t>
  </si>
  <si>
    <t>Uttar Pradesh</t>
  </si>
  <si>
    <t>Noida</t>
  </si>
  <si>
    <t>Item5004ProductLL</t>
  </si>
  <si>
    <t>ProductLL</t>
  </si>
  <si>
    <t>SUNFLOWER</t>
  </si>
  <si>
    <t>90 DAYS</t>
  </si>
  <si>
    <t>GST/2223/008</t>
  </si>
  <si>
    <t>SOS2020004</t>
  </si>
  <si>
    <t>C0017</t>
  </si>
  <si>
    <t>Customer017</t>
  </si>
  <si>
    <t>Consumer</t>
  </si>
  <si>
    <t>IT</t>
  </si>
  <si>
    <t>South</t>
  </si>
  <si>
    <t>Karnataka</t>
  </si>
  <si>
    <t>Banglore</t>
  </si>
  <si>
    <t>Branch E</t>
  </si>
  <si>
    <t>SET</t>
  </si>
  <si>
    <t>Sadashiv Shirsat</t>
  </si>
  <si>
    <t>Dipen Panjwani</t>
  </si>
  <si>
    <t>GST/2223/009</t>
  </si>
  <si>
    <t>SOA2020001</t>
  </si>
  <si>
    <t>C0019</t>
  </si>
  <si>
    <t>Customer019</t>
  </si>
  <si>
    <t>Channel 3</t>
  </si>
  <si>
    <t>Kerala</t>
  </si>
  <si>
    <t>Kozikode</t>
  </si>
  <si>
    <t>Item5005ProductSS</t>
  </si>
  <si>
    <t>ProductSS</t>
  </si>
  <si>
    <t>LILY</t>
  </si>
  <si>
    <t>Mukesh Shah</t>
  </si>
  <si>
    <t>GST/2223/010</t>
  </si>
  <si>
    <t>SOA2020002</t>
  </si>
  <si>
    <t>C0020</t>
  </si>
  <si>
    <t>Customer020</t>
  </si>
  <si>
    <t>Distributor</t>
  </si>
  <si>
    <t>Channel 4</t>
  </si>
  <si>
    <t>Punjab</t>
  </si>
  <si>
    <t>Jalandhar</t>
  </si>
  <si>
    <t>BLUE</t>
  </si>
  <si>
    <t>Pramod Patange</t>
  </si>
  <si>
    <t>60 DAYS</t>
  </si>
  <si>
    <t>GST/2223/011</t>
  </si>
  <si>
    <t>SOA2020003</t>
  </si>
  <si>
    <t>C0021</t>
  </si>
  <si>
    <t>Customer021</t>
  </si>
  <si>
    <t>Channel 5</t>
  </si>
  <si>
    <t>Steel Plant</t>
  </si>
  <si>
    <t>East</t>
  </si>
  <si>
    <t>Branch D</t>
  </si>
  <si>
    <t>Gaurav Hinge</t>
  </si>
  <si>
    <t>GST/2223/012</t>
  </si>
  <si>
    <t>SOA2020004</t>
  </si>
  <si>
    <t>C0022</t>
  </si>
  <si>
    <t>Customer022</t>
  </si>
  <si>
    <t>B2G</t>
  </si>
  <si>
    <t>Tamilnadu</t>
  </si>
  <si>
    <t>Madurai</t>
  </si>
  <si>
    <t>GREEN</t>
  </si>
  <si>
    <t>ROLL</t>
  </si>
  <si>
    <t>Sonali Mehta</t>
  </si>
  <si>
    <t>GST/2223/013</t>
  </si>
  <si>
    <t>SOA2020005</t>
  </si>
  <si>
    <t>C0023</t>
  </si>
  <si>
    <t>Customer023</t>
  </si>
  <si>
    <t>Telangana</t>
  </si>
  <si>
    <t>Hyderabad</t>
  </si>
  <si>
    <t>Item1001ProductAC</t>
  </si>
  <si>
    <t>ProductAC</t>
  </si>
  <si>
    <t>WHITE</t>
  </si>
  <si>
    <t>30% ADV &amp; 70% AGAINST PI</t>
  </si>
  <si>
    <t>GST/2223/014</t>
  </si>
  <si>
    <t>SOA2020006</t>
  </si>
  <si>
    <t>C0025</t>
  </si>
  <si>
    <t>Customer025</t>
  </si>
  <si>
    <t>Vijaywada</t>
  </si>
  <si>
    <t>Item1001ProductAD</t>
  </si>
  <si>
    <t>ProductAD</t>
  </si>
  <si>
    <t>Ravindra Shah</t>
  </si>
  <si>
    <t>Paras Chabra</t>
  </si>
  <si>
    <t>Item1002ProductAE</t>
  </si>
  <si>
    <t>ProductAE</t>
  </si>
  <si>
    <t>Item1002ProductAF</t>
  </si>
  <si>
    <t>ProductAF</t>
  </si>
  <si>
    <t>GST/2223/015</t>
  </si>
  <si>
    <t>SOA2020007</t>
  </si>
  <si>
    <t>C0029</t>
  </si>
  <si>
    <t>Customer029</t>
  </si>
  <si>
    <t>Varanasi</t>
  </si>
  <si>
    <t>Item1003ProductBB</t>
  </si>
  <si>
    <t>ProductBB</t>
  </si>
  <si>
    <t>GST/2223/017</t>
  </si>
  <si>
    <t>SOA2020009</t>
  </si>
  <si>
    <t>C0031</t>
  </si>
  <si>
    <t>Customer031</t>
  </si>
  <si>
    <t>Coal &amp; Mines</t>
  </si>
  <si>
    <t>Delhi</t>
  </si>
  <si>
    <t>New Delhi</t>
  </si>
  <si>
    <t>Item1003ProductBD</t>
  </si>
  <si>
    <t>ProductBD</t>
  </si>
  <si>
    <t>GST/2223/018</t>
  </si>
  <si>
    <t>SOA2020010</t>
  </si>
  <si>
    <t>C0032</t>
  </si>
  <si>
    <t>Customer032</t>
  </si>
  <si>
    <t xml:space="preserve">Fire Protection </t>
  </si>
  <si>
    <t>Haryana</t>
  </si>
  <si>
    <t>Panipat</t>
  </si>
  <si>
    <t>Item3001ProductRT</t>
  </si>
  <si>
    <t>ItemGroup300</t>
  </si>
  <si>
    <t>ProductRT</t>
  </si>
  <si>
    <t>GST/2223/019</t>
  </si>
  <si>
    <t>SOA2020011</t>
  </si>
  <si>
    <t>C0037</t>
  </si>
  <si>
    <t>Customer037</t>
  </si>
  <si>
    <t>Central</t>
  </si>
  <si>
    <t>Jamshedpur</t>
  </si>
  <si>
    <t>Item3001ProductYH</t>
  </si>
  <si>
    <t>ProductYH</t>
  </si>
  <si>
    <t>Item3002ProductKL</t>
  </si>
  <si>
    <t>ProductKL</t>
  </si>
  <si>
    <t>Item3002ProductFR</t>
  </si>
  <si>
    <t>ProductFR</t>
  </si>
  <si>
    <t>Item3003ProductAl</t>
  </si>
  <si>
    <t>ProductAl</t>
  </si>
  <si>
    <t>GST/2223/021</t>
  </si>
  <si>
    <t>SOA2020013</t>
  </si>
  <si>
    <t>C0048</t>
  </si>
  <si>
    <t>Customer048</t>
  </si>
  <si>
    <t>Madhya Pradesh</t>
  </si>
  <si>
    <t>Bhopal</t>
  </si>
  <si>
    <t>Item3001ProductJK</t>
  </si>
  <si>
    <t>ProductJK</t>
  </si>
  <si>
    <t>GST/2223/022</t>
  </si>
  <si>
    <t>SOA2020014</t>
  </si>
  <si>
    <t>C0042</t>
  </si>
  <si>
    <t>Customer042</t>
  </si>
  <si>
    <t>Item4003ProductRG</t>
  </si>
  <si>
    <t>ItemGroup400</t>
  </si>
  <si>
    <t>ProductRG</t>
  </si>
  <si>
    <t>GST/2223/023</t>
  </si>
  <si>
    <t>SOA2020015</t>
  </si>
  <si>
    <t>C0041</t>
  </si>
  <si>
    <t>Customer041</t>
  </si>
  <si>
    <t>Ambala</t>
  </si>
  <si>
    <t>Item4003ProductHR</t>
  </si>
  <si>
    <t>ProductHR</t>
  </si>
  <si>
    <t>GST/2223/024</t>
  </si>
  <si>
    <t>SOA2020016</t>
  </si>
  <si>
    <t>C0040</t>
  </si>
  <si>
    <t>Customer040</t>
  </si>
  <si>
    <t>Item4003ProductHZ</t>
  </si>
  <si>
    <t>ProductHZ</t>
  </si>
  <si>
    <t>GST/2223/025</t>
  </si>
  <si>
    <t>SOA2020017</t>
  </si>
  <si>
    <t>C0039</t>
  </si>
  <si>
    <t>Customer039</t>
  </si>
  <si>
    <t>Solapur</t>
  </si>
  <si>
    <t>Item4003ProductTY</t>
  </si>
  <si>
    <t>ProductTY</t>
  </si>
  <si>
    <t>KG</t>
  </si>
  <si>
    <t>GST/2223/028</t>
  </si>
  <si>
    <t>SOF2020006</t>
  </si>
  <si>
    <t>C0058</t>
  </si>
  <si>
    <t>Customer058</t>
  </si>
  <si>
    <t>Item3004ProductPG</t>
  </si>
  <si>
    <t>ProductPG</t>
  </si>
  <si>
    <t>GST/2223/029</t>
  </si>
  <si>
    <t>SOF2020007</t>
  </si>
  <si>
    <t>C0063</t>
  </si>
  <si>
    <t>Customer063</t>
  </si>
  <si>
    <t>Kochi</t>
  </si>
  <si>
    <t>Item3004ProductKD</t>
  </si>
  <si>
    <t>ProductKD</t>
  </si>
  <si>
    <t>Item3004ProductBN</t>
  </si>
  <si>
    <t>ProductBN</t>
  </si>
  <si>
    <t>GST/2223/030</t>
  </si>
  <si>
    <t>SOF2020008</t>
  </si>
  <si>
    <t>C0067</t>
  </si>
  <si>
    <t>Customer067</t>
  </si>
  <si>
    <t>Item3005ProductVH\</t>
  </si>
  <si>
    <t>ProductVH\</t>
  </si>
  <si>
    <t>Rajesh Uttarde</t>
  </si>
  <si>
    <t>Item3005ProductML</t>
  </si>
  <si>
    <t>ProductML</t>
  </si>
  <si>
    <t>Item4001ProductPO</t>
  </si>
  <si>
    <t>ProductPO</t>
  </si>
  <si>
    <t>Item4001ProductDF</t>
  </si>
  <si>
    <t>ProductDF</t>
  </si>
  <si>
    <t>Item4001ProductXT</t>
  </si>
  <si>
    <t>ProductXT</t>
  </si>
  <si>
    <t>Item4005ProductKQ</t>
  </si>
  <si>
    <t>ProductKQ</t>
  </si>
  <si>
    <t>Item4005ProductRQ</t>
  </si>
  <si>
    <t>ProductRQ</t>
  </si>
  <si>
    <t>GST/2223/031</t>
  </si>
  <si>
    <t>SOF2020009</t>
  </si>
  <si>
    <t>C0078</t>
  </si>
  <si>
    <t>Customer078</t>
  </si>
  <si>
    <t>Item2005ProductFC</t>
  </si>
  <si>
    <t>ItemGroup200</t>
  </si>
  <si>
    <t>ProductFC</t>
  </si>
  <si>
    <t>Item2005ProductGC</t>
  </si>
  <si>
    <t>ProductGC</t>
  </si>
  <si>
    <t>GST/2223/032</t>
  </si>
  <si>
    <t>SOF2020010</t>
  </si>
  <si>
    <t>C0081</t>
  </si>
  <si>
    <t>Customer081</t>
  </si>
  <si>
    <t>Chemical &amp; Fertilizers</t>
  </si>
  <si>
    <t>Chennai</t>
  </si>
  <si>
    <t>Item3001ProductGJ</t>
  </si>
  <si>
    <t>ProductGJ</t>
  </si>
  <si>
    <t>Item2004ProductZX</t>
  </si>
  <si>
    <t>ProductZX</t>
  </si>
  <si>
    <t>Item2004ProductFA</t>
  </si>
  <si>
    <t>ProductFA</t>
  </si>
  <si>
    <t>GST/2223/033</t>
  </si>
  <si>
    <t>SOS2020005</t>
  </si>
  <si>
    <t>C0084</t>
  </si>
  <si>
    <t>Customer084</t>
  </si>
  <si>
    <t>MEP / PMC</t>
  </si>
  <si>
    <t>Item2004ProductFG</t>
  </si>
  <si>
    <t>ProductFG</t>
  </si>
  <si>
    <t>Roshan Jadhav</t>
  </si>
  <si>
    <t>Item2004ProductFH</t>
  </si>
  <si>
    <t>ProductFH</t>
  </si>
  <si>
    <t>Item2004ProductFI</t>
  </si>
  <si>
    <t>ProductFI</t>
  </si>
  <si>
    <t>GST/2223/034</t>
  </si>
  <si>
    <t>SOS2020006</t>
  </si>
  <si>
    <t>C0087</t>
  </si>
  <si>
    <t>Customer087</t>
  </si>
  <si>
    <t>Item2002ProductLN</t>
  </si>
  <si>
    <t>ProductLN</t>
  </si>
  <si>
    <t>GST/2223/035</t>
  </si>
  <si>
    <t>SOS2020007</t>
  </si>
  <si>
    <t>C0088</t>
  </si>
  <si>
    <t>Customer088</t>
  </si>
  <si>
    <t>Gurgaon</t>
  </si>
  <si>
    <t>Item2003ProductPA</t>
  </si>
  <si>
    <t>ProductPA</t>
  </si>
  <si>
    <t>GST/2223/036</t>
  </si>
  <si>
    <t>SOS2020008</t>
  </si>
  <si>
    <t>C0089</t>
  </si>
  <si>
    <t>Customer089</t>
  </si>
  <si>
    <t>Item2003ProductPD</t>
  </si>
  <si>
    <t>ProductPD</t>
  </si>
  <si>
    <t>GST/2223/037</t>
  </si>
  <si>
    <t>SOS2020009</t>
  </si>
  <si>
    <t>C0097</t>
  </si>
  <si>
    <t>Customer097</t>
  </si>
  <si>
    <t>Item2003ProductPZ</t>
  </si>
  <si>
    <t>ProductPZ</t>
  </si>
  <si>
    <t>GST/2223/038</t>
  </si>
  <si>
    <t>SOS2020010</t>
  </si>
  <si>
    <t>C0096</t>
  </si>
  <si>
    <t>Customer096</t>
  </si>
  <si>
    <t>Item2003ProductZA</t>
  </si>
  <si>
    <t>ProductZA</t>
  </si>
  <si>
    <t>GST/2223/039</t>
  </si>
  <si>
    <t>SOS2020011</t>
  </si>
  <si>
    <t>C0094</t>
  </si>
  <si>
    <t>Customer094</t>
  </si>
  <si>
    <t>Item2001ProductEE</t>
  </si>
  <si>
    <t>ProductEE</t>
  </si>
  <si>
    <t>Item2001ProductEF</t>
  </si>
  <si>
    <t>ProductEF</t>
  </si>
  <si>
    <t>Item2001ProductEG</t>
  </si>
  <si>
    <t>ProductEG</t>
  </si>
  <si>
    <t>GST/2223/040</t>
  </si>
  <si>
    <t>SOS2020013</t>
  </si>
  <si>
    <t>C0045</t>
  </si>
  <si>
    <t>Customer045</t>
  </si>
  <si>
    <t>Indore</t>
  </si>
  <si>
    <t>Item2001ProductEA</t>
  </si>
  <si>
    <t>ProductEA</t>
  </si>
  <si>
    <t>Item1005ProductDE</t>
  </si>
  <si>
    <t>ProductDE</t>
  </si>
  <si>
    <t>GST/2223/041</t>
  </si>
  <si>
    <t>SOS2020014</t>
  </si>
  <si>
    <t>C0049</t>
  </si>
  <si>
    <t>Customer049</t>
  </si>
  <si>
    <t>Manglore</t>
  </si>
  <si>
    <t>GST/2223/042</t>
  </si>
  <si>
    <t>SOF2020011</t>
  </si>
  <si>
    <t>GST/2223/043</t>
  </si>
  <si>
    <t>SOF2020012</t>
  </si>
  <si>
    <t>C0010</t>
  </si>
  <si>
    <t>Customer010</t>
  </si>
  <si>
    <t>Item2002ProductLM</t>
  </si>
  <si>
    <t>ProductLM</t>
  </si>
  <si>
    <t>GST/2223/044</t>
  </si>
  <si>
    <t>SOF2020013</t>
  </si>
  <si>
    <t>C0009</t>
  </si>
  <si>
    <t>Customer009</t>
  </si>
  <si>
    <t>Item2002ProductLQ</t>
  </si>
  <si>
    <t>ProductLQ</t>
  </si>
  <si>
    <t>GST/2223/045</t>
  </si>
  <si>
    <t>SOF2020014</t>
  </si>
  <si>
    <t>GST/2223/046</t>
  </si>
  <si>
    <t>SOF2020015</t>
  </si>
  <si>
    <t>C0007</t>
  </si>
  <si>
    <t>Customer007</t>
  </si>
  <si>
    <t>Aviation</t>
  </si>
  <si>
    <t>Item1005ProductDB</t>
  </si>
  <si>
    <t>ProductDB</t>
  </si>
  <si>
    <t>Item1005ProductDC</t>
  </si>
  <si>
    <t>ProductDC</t>
  </si>
  <si>
    <t>GST/2223/047</t>
  </si>
  <si>
    <t>SOF2020018</t>
  </si>
  <si>
    <t>C0014</t>
  </si>
  <si>
    <t>Customer014</t>
  </si>
  <si>
    <t>Jabalpur</t>
  </si>
  <si>
    <t>Item4004ProductWV</t>
  </si>
  <si>
    <t>ProductWV</t>
  </si>
  <si>
    <t>Item4005ProductRH</t>
  </si>
  <si>
    <t>ProductRH</t>
  </si>
  <si>
    <t>GST/2223/049</t>
  </si>
  <si>
    <t>SOF2020027</t>
  </si>
  <si>
    <t>C0046</t>
  </si>
  <si>
    <t>Customer046</t>
  </si>
  <si>
    <t>Nashik</t>
  </si>
  <si>
    <t>Item1004ProductDA</t>
  </si>
  <si>
    <t>ProductDA</t>
  </si>
  <si>
    <t>Item1004ProductCB</t>
  </si>
  <si>
    <t>ProductCB</t>
  </si>
  <si>
    <t>Item1004ProductCD</t>
  </si>
  <si>
    <t>ProductCD</t>
  </si>
  <si>
    <t>GST/2223/050</t>
  </si>
  <si>
    <t>SOF2020028</t>
  </si>
  <si>
    <t>Sunil Yadav</t>
  </si>
  <si>
    <t>Kakinada</t>
  </si>
  <si>
    <t>GST/2223/052</t>
  </si>
  <si>
    <t>SOF2020030</t>
  </si>
  <si>
    <t>C0062</t>
  </si>
  <si>
    <t>Customer062</t>
  </si>
  <si>
    <t>Other Industries</t>
  </si>
  <si>
    <t>Hazaribagh</t>
  </si>
  <si>
    <t>Item3002ProductED</t>
  </si>
  <si>
    <t>ProductED</t>
  </si>
  <si>
    <t>GST/2223/055</t>
  </si>
  <si>
    <t>SOS2020017</t>
  </si>
  <si>
    <t>C0072</t>
  </si>
  <si>
    <t>Customer072</t>
  </si>
  <si>
    <t>Item3005ProductVF</t>
  </si>
  <si>
    <t>ProductVF</t>
  </si>
  <si>
    <t>GST/2223/056</t>
  </si>
  <si>
    <t>SOS2020018</t>
  </si>
  <si>
    <t>C0073</t>
  </si>
  <si>
    <t>Customer073</t>
  </si>
  <si>
    <t>GST/2223/057</t>
  </si>
  <si>
    <t>SOS2020019</t>
  </si>
  <si>
    <t>C0075</t>
  </si>
  <si>
    <t>Customer075</t>
  </si>
  <si>
    <t>Item4001ProductXC</t>
  </si>
  <si>
    <t>ProductXC</t>
  </si>
  <si>
    <t>Item4002ProductVY</t>
  </si>
  <si>
    <t>ProductVY</t>
  </si>
  <si>
    <t>GST/2223/058</t>
  </si>
  <si>
    <t>SOS2020020</t>
  </si>
  <si>
    <t>C0080</t>
  </si>
  <si>
    <t>Customer080</t>
  </si>
  <si>
    <t>Udaipur</t>
  </si>
  <si>
    <t>Item4002ProductVT</t>
  </si>
  <si>
    <t>ProductVT</t>
  </si>
  <si>
    <t>GST/2223/059</t>
  </si>
  <si>
    <t>SOS2020021</t>
  </si>
  <si>
    <t>C0082</t>
  </si>
  <si>
    <t>Customer082</t>
  </si>
  <si>
    <t>GST/2223/060</t>
  </si>
  <si>
    <t>SOS2020022</t>
  </si>
  <si>
    <t>C0086</t>
  </si>
  <si>
    <t>Customer086</t>
  </si>
  <si>
    <t>Item1003ProductBC</t>
  </si>
  <si>
    <t>ProductBC</t>
  </si>
  <si>
    <t>GST/2223/061</t>
  </si>
  <si>
    <t>SOS2020023</t>
  </si>
  <si>
    <t>GST/2223/063</t>
  </si>
  <si>
    <t>SOS2020025</t>
  </si>
  <si>
    <t>Item1003ProductBA</t>
  </si>
  <si>
    <t>ProductBA</t>
  </si>
  <si>
    <t>Item1002ProductAG</t>
  </si>
  <si>
    <t>ProductAG</t>
  </si>
  <si>
    <t>GST/2223/064</t>
  </si>
  <si>
    <t>SOS2020026</t>
  </si>
  <si>
    <t>GST/2223/065</t>
  </si>
  <si>
    <t>SOS2020029</t>
  </si>
  <si>
    <t>C0099</t>
  </si>
  <si>
    <t>Customer099</t>
  </si>
  <si>
    <t>Item5003ProductLP</t>
  </si>
  <si>
    <t>ProductLP</t>
  </si>
  <si>
    <t>GST/2223/066</t>
  </si>
  <si>
    <t>SOS2020030</t>
  </si>
  <si>
    <t>C0104</t>
  </si>
  <si>
    <t>Customer104</t>
  </si>
  <si>
    <t>Item5003ProductMA</t>
  </si>
  <si>
    <t>ProductMA</t>
  </si>
  <si>
    <t>GST/2223/067</t>
  </si>
  <si>
    <t>SOS2020031</t>
  </si>
  <si>
    <t>C0103</t>
  </si>
  <si>
    <t>Customer103</t>
  </si>
  <si>
    <t>Item5002ProductZp</t>
  </si>
  <si>
    <t>ProductZp</t>
  </si>
  <si>
    <t>C0119</t>
  </si>
  <si>
    <t>Customer119</t>
  </si>
  <si>
    <t>Item4004ProductOQ</t>
  </si>
  <si>
    <t>ProductOQ</t>
  </si>
  <si>
    <t>GST/2223/068</t>
  </si>
  <si>
    <t>SOF2020032</t>
  </si>
  <si>
    <t>C0121</t>
  </si>
  <si>
    <t>Customer121</t>
  </si>
  <si>
    <t>GST/2223/074</t>
  </si>
  <si>
    <t>SOF2020040</t>
  </si>
  <si>
    <t>C0132</t>
  </si>
  <si>
    <t>Customer132</t>
  </si>
  <si>
    <t>Item3004ProductPR</t>
  </si>
  <si>
    <t>ProductPR</t>
  </si>
  <si>
    <t>Item3003ProductPV</t>
  </si>
  <si>
    <t>ProductPV</t>
  </si>
  <si>
    <t>Item3003ProductOP</t>
  </si>
  <si>
    <t>ProductOP</t>
  </si>
  <si>
    <t>GST/2223/075</t>
  </si>
  <si>
    <t>SOF2020041</t>
  </si>
  <si>
    <t>C0137</t>
  </si>
  <si>
    <t>Customer137</t>
  </si>
  <si>
    <t>GST/2223/078</t>
  </si>
  <si>
    <t>SOF2020044</t>
  </si>
  <si>
    <t>C0140</t>
  </si>
  <si>
    <t>Customer140</t>
  </si>
  <si>
    <t>GST/2223/079</t>
  </si>
  <si>
    <t>SOF2020091</t>
  </si>
  <si>
    <t>C0500</t>
  </si>
  <si>
    <t>Customer500</t>
  </si>
  <si>
    <t>OEM's</t>
  </si>
  <si>
    <t>Faridabad</t>
  </si>
  <si>
    <t>Item5003ProductFF</t>
  </si>
  <si>
    <t>ProductFF</t>
  </si>
  <si>
    <t>GST/2223/081</t>
  </si>
  <si>
    <t>SOF2020093</t>
  </si>
  <si>
    <t>C0498</t>
  </si>
  <si>
    <t>Customer498</t>
  </si>
  <si>
    <t>Item5002ProductZI</t>
  </si>
  <si>
    <t>ProductZI</t>
  </si>
  <si>
    <t>GST/2223/082</t>
  </si>
  <si>
    <t>SOF2020094</t>
  </si>
  <si>
    <t>C0497</t>
  </si>
  <si>
    <t>Customer497</t>
  </si>
  <si>
    <t>GST/2223/083</t>
  </si>
  <si>
    <t>SOF2020095</t>
  </si>
  <si>
    <t>C0496</t>
  </si>
  <si>
    <t>Customer496</t>
  </si>
  <si>
    <t>Thrissur</t>
  </si>
  <si>
    <t>GST/2223/084</t>
  </si>
  <si>
    <t>SOF2020096</t>
  </si>
  <si>
    <t>C0495</t>
  </si>
  <si>
    <t>Customer495</t>
  </si>
  <si>
    <t>Chandigarh</t>
  </si>
  <si>
    <t>GST/2223/085</t>
  </si>
  <si>
    <t>SOF2020106</t>
  </si>
  <si>
    <t>C0485</t>
  </si>
  <si>
    <t>Customer485</t>
  </si>
  <si>
    <t>Ujjain</t>
  </si>
  <si>
    <t>GST/2223/086</t>
  </si>
  <si>
    <t>SOF2020107</t>
  </si>
  <si>
    <t>C0484</t>
  </si>
  <si>
    <t>Customer484</t>
  </si>
  <si>
    <t>GST/2223/087</t>
  </si>
  <si>
    <t>SOF2020108</t>
  </si>
  <si>
    <t>C0483</t>
  </si>
  <si>
    <t>Customer483</t>
  </si>
  <si>
    <t>Item4004ProductQA</t>
  </si>
  <si>
    <t>ProductQA</t>
  </si>
  <si>
    <t>GST/2223/088</t>
  </si>
  <si>
    <t>SOF2020109</t>
  </si>
  <si>
    <t>C0482</t>
  </si>
  <si>
    <t>Customer482</t>
  </si>
  <si>
    <t>Item4004ProductQL</t>
  </si>
  <si>
    <t>ProductQL</t>
  </si>
  <si>
    <t>GST/2223/089</t>
  </si>
  <si>
    <t>SOF2020110</t>
  </si>
  <si>
    <t>C0481</t>
  </si>
  <si>
    <t>Customer481</t>
  </si>
  <si>
    <t>Item4004ProductQP</t>
  </si>
  <si>
    <t>ProductQP</t>
  </si>
  <si>
    <t>GST/2223/090</t>
  </si>
  <si>
    <t>SOF2020111</t>
  </si>
  <si>
    <t>C0480</t>
  </si>
  <si>
    <t>Customer480</t>
  </si>
  <si>
    <t>GST/2223/095</t>
  </si>
  <si>
    <t>SOF2020139</t>
  </si>
  <si>
    <t>C0392</t>
  </si>
  <si>
    <t>Customer392</t>
  </si>
  <si>
    <t>GST/2223/096</t>
  </si>
  <si>
    <t>SOF2020140</t>
  </si>
  <si>
    <t>C0391</t>
  </si>
  <si>
    <t>Customer391</t>
  </si>
  <si>
    <t>GST/2223/098</t>
  </si>
  <si>
    <t>SOF2020147</t>
  </si>
  <si>
    <t>C0403</t>
  </si>
  <si>
    <t>Customer403</t>
  </si>
  <si>
    <t>Vadodara</t>
  </si>
  <si>
    <t>GST/2223/099</t>
  </si>
  <si>
    <t>SOF2020148</t>
  </si>
  <si>
    <t>C0402</t>
  </si>
  <si>
    <t>Customer402</t>
  </si>
  <si>
    <t>GST/2223/100</t>
  </si>
  <si>
    <t>SOF2020149</t>
  </si>
  <si>
    <t>C0401</t>
  </si>
  <si>
    <t>Customer401</t>
  </si>
  <si>
    <t>GST/2223/101</t>
  </si>
  <si>
    <t>SOF2020150</t>
  </si>
  <si>
    <t>C0400</t>
  </si>
  <si>
    <t>Customer400</t>
  </si>
  <si>
    <t>GST/2223/102</t>
  </si>
  <si>
    <t>SOF2020151</t>
  </si>
  <si>
    <t>C0405</t>
  </si>
  <si>
    <t>Customer405</t>
  </si>
  <si>
    <t>GST/2223/103</t>
  </si>
  <si>
    <t>SOF2020152</t>
  </si>
  <si>
    <t>C0412</t>
  </si>
  <si>
    <t>Customer412</t>
  </si>
  <si>
    <t>GST/2223/104</t>
  </si>
  <si>
    <t>SOF2020153</t>
  </si>
  <si>
    <t>C0411</t>
  </si>
  <si>
    <t>Customer411</t>
  </si>
  <si>
    <t>Mysore</t>
  </si>
  <si>
    <t>GST/2223/105</t>
  </si>
  <si>
    <t>SOF2020154</t>
  </si>
  <si>
    <t>C0410</t>
  </si>
  <si>
    <t>Customer410</t>
  </si>
  <si>
    <t>GST/2223/106</t>
  </si>
  <si>
    <t>SOF2020155</t>
  </si>
  <si>
    <t>C0409</t>
  </si>
  <si>
    <t>Customer409</t>
  </si>
  <si>
    <t>GST/2223/107</t>
  </si>
  <si>
    <t>SOF2020156</t>
  </si>
  <si>
    <t>C0408</t>
  </si>
  <si>
    <t>Customer408</t>
  </si>
  <si>
    <t>GST/2223/108</t>
  </si>
  <si>
    <t>SOF2020157</t>
  </si>
  <si>
    <t>C0407</t>
  </si>
  <si>
    <t>Customer407</t>
  </si>
  <si>
    <t>GST/2223/111</t>
  </si>
  <si>
    <t>SOF2020160</t>
  </si>
  <si>
    <t>C0416</t>
  </si>
  <si>
    <t>Customer416</t>
  </si>
  <si>
    <t>West Bengal</t>
  </si>
  <si>
    <t>Howrah</t>
  </si>
  <si>
    <t>GST/2223/112</t>
  </si>
  <si>
    <t>SOF2020161</t>
  </si>
  <si>
    <t>C0415</t>
  </si>
  <si>
    <t>Customer415</t>
  </si>
  <si>
    <t>GST/2223/113</t>
  </si>
  <si>
    <t>SOF2020162</t>
  </si>
  <si>
    <t>C0414</t>
  </si>
  <si>
    <t>Customer414</t>
  </si>
  <si>
    <t>Assam</t>
  </si>
  <si>
    <t>Guwahati</t>
  </si>
  <si>
    <t>GST/2223/115</t>
  </si>
  <si>
    <t>SOF2020164</t>
  </si>
  <si>
    <t>C0423</t>
  </si>
  <si>
    <t>Customer423</t>
  </si>
  <si>
    <t>GST/2223/118</t>
  </si>
  <si>
    <t>SOF2020167</t>
  </si>
  <si>
    <t>C0420</t>
  </si>
  <si>
    <t>Customer420</t>
  </si>
  <si>
    <t>GST/2223/120</t>
  </si>
  <si>
    <t>SOF2020169</t>
  </si>
  <si>
    <t>C0418</t>
  </si>
  <si>
    <t>Customer418</t>
  </si>
  <si>
    <t>GST/2223/122</t>
  </si>
  <si>
    <t>SOF2020171</t>
  </si>
  <si>
    <t>C0436</t>
  </si>
  <si>
    <t>Customer436</t>
  </si>
  <si>
    <t>GST/2223/123</t>
  </si>
  <si>
    <t>SOF2020172</t>
  </si>
  <si>
    <t>C0435</t>
  </si>
  <si>
    <t>Customer435</t>
  </si>
  <si>
    <t>LOT</t>
  </si>
  <si>
    <t>GST/2223/125</t>
  </si>
  <si>
    <t>SOF2020185</t>
  </si>
  <si>
    <t>C0444</t>
  </si>
  <si>
    <t>Customer444</t>
  </si>
  <si>
    <t>GST/2223/126</t>
  </si>
  <si>
    <t>SOF2020186</t>
  </si>
  <si>
    <t>C0446</t>
  </si>
  <si>
    <t>Customer446</t>
  </si>
  <si>
    <t>GST/2223/127</t>
  </si>
  <si>
    <t>SOF2020187</t>
  </si>
  <si>
    <t>C0447</t>
  </si>
  <si>
    <t>Customer447</t>
  </si>
  <si>
    <t>GST/2223/128</t>
  </si>
  <si>
    <t>SOF2020188</t>
  </si>
  <si>
    <t>C0449</t>
  </si>
  <si>
    <t>Customer449</t>
  </si>
  <si>
    <t>23-24</t>
  </si>
  <si>
    <t>GST/2324/005</t>
  </si>
  <si>
    <t>SOA2020057</t>
  </si>
  <si>
    <t>C0016</t>
  </si>
  <si>
    <t>Customer016</t>
  </si>
  <si>
    <t>GST/2324/006</t>
  </si>
  <si>
    <t>SOA2020058</t>
  </si>
  <si>
    <t>GST/2324/007</t>
  </si>
  <si>
    <t>SOA2020059</t>
  </si>
  <si>
    <t>C0018</t>
  </si>
  <si>
    <t>Customer018</t>
  </si>
  <si>
    <t>GST/2324/008</t>
  </si>
  <si>
    <t>SOA2020060</t>
  </si>
  <si>
    <t>GST/2324/009</t>
  </si>
  <si>
    <t>SOA2020061</t>
  </si>
  <si>
    <t>C0024</t>
  </si>
  <si>
    <t>Customer024</t>
  </si>
  <si>
    <t>GST/2324/010</t>
  </si>
  <si>
    <t>SOS2020033</t>
  </si>
  <si>
    <t>GST/2324/011</t>
  </si>
  <si>
    <t>SOS2020034</t>
  </si>
  <si>
    <t>GST/2324/012</t>
  </si>
  <si>
    <t>SOS2020035</t>
  </si>
  <si>
    <t>C0033</t>
  </si>
  <si>
    <t>Customer033</t>
  </si>
  <si>
    <t>Item5003ProductKK</t>
  </si>
  <si>
    <t>ProductKK</t>
  </si>
  <si>
    <t>GST/2324/013</t>
  </si>
  <si>
    <t>SOS2020036</t>
  </si>
  <si>
    <t>C0034</t>
  </si>
  <si>
    <t>Customer034</t>
  </si>
  <si>
    <t>GST/2324/014</t>
  </si>
  <si>
    <t>SOS2020037</t>
  </si>
  <si>
    <t>GST/2324/017</t>
  </si>
  <si>
    <t>SOS2020040</t>
  </si>
  <si>
    <t>GST/2324/018</t>
  </si>
  <si>
    <t>SOS2020041</t>
  </si>
  <si>
    <t>C0053</t>
  </si>
  <si>
    <t>Customer053</t>
  </si>
  <si>
    <t>GST/2324/019</t>
  </si>
  <si>
    <t>SOS2020042</t>
  </si>
  <si>
    <t>C0054</t>
  </si>
  <si>
    <t>Customer054</t>
  </si>
  <si>
    <t>Kanpur</t>
  </si>
  <si>
    <t>GST/2324/020</t>
  </si>
  <si>
    <t>SOS2020043</t>
  </si>
  <si>
    <t>GST/2324/024</t>
  </si>
  <si>
    <t>SOS2021063</t>
  </si>
  <si>
    <t>C0128</t>
  </si>
  <si>
    <t>Customer128</t>
  </si>
  <si>
    <t>GST/2324/025</t>
  </si>
  <si>
    <t>SOS2021064</t>
  </si>
  <si>
    <t>GST/2324/026</t>
  </si>
  <si>
    <t>SOS2021065</t>
  </si>
  <si>
    <t>C0135</t>
  </si>
  <si>
    <t>Customer135</t>
  </si>
  <si>
    <t>GST/2324/027</t>
  </si>
  <si>
    <t>SOF2021202</t>
  </si>
  <si>
    <t>C0139</t>
  </si>
  <si>
    <t>Customer139</t>
  </si>
  <si>
    <t>GST/2324/030</t>
  </si>
  <si>
    <t>SOF2021205</t>
  </si>
  <si>
    <t>C0143</t>
  </si>
  <si>
    <t>Customer143</t>
  </si>
  <si>
    <t>Goa</t>
  </si>
  <si>
    <t>Ponda</t>
  </si>
  <si>
    <t>GST/2324/031</t>
  </si>
  <si>
    <t>SOF2021021</t>
  </si>
  <si>
    <t>C0145</t>
  </si>
  <si>
    <t>Customer145</t>
  </si>
  <si>
    <t>GST/2324/039</t>
  </si>
  <si>
    <t>SOF2021218</t>
  </si>
  <si>
    <t>C0154</t>
  </si>
  <si>
    <t>Customer154</t>
  </si>
  <si>
    <t>GST/2324/040</t>
  </si>
  <si>
    <t>SOF2021222</t>
  </si>
  <si>
    <t>C0159</t>
  </si>
  <si>
    <t>Customer159</t>
  </si>
  <si>
    <t>GST/2324/041</t>
  </si>
  <si>
    <t>SOF2021223</t>
  </si>
  <si>
    <t>C0163</t>
  </si>
  <si>
    <t>Customer163</t>
  </si>
  <si>
    <t>GST/2324/042</t>
  </si>
  <si>
    <t>SOF2021224</t>
  </si>
  <si>
    <t>C0162</t>
  </si>
  <si>
    <t>Customer162</t>
  </si>
  <si>
    <t>GST/2324/043</t>
  </si>
  <si>
    <t>SOF2021225</t>
  </si>
  <si>
    <t>C0161</t>
  </si>
  <si>
    <t>Customer161</t>
  </si>
  <si>
    <t>GST/2324/044</t>
  </si>
  <si>
    <t>SOF2021226</t>
  </si>
  <si>
    <t>C0160</t>
  </si>
  <si>
    <t>Customer160</t>
  </si>
  <si>
    <t>GST/2324/045</t>
  </si>
  <si>
    <t>SOF2021227</t>
  </si>
  <si>
    <t>C0164</t>
  </si>
  <si>
    <t>Customer164</t>
  </si>
  <si>
    <t>GST/2324/046</t>
  </si>
  <si>
    <t>SOF2021228</t>
  </si>
  <si>
    <t>C0168</t>
  </si>
  <si>
    <t>Customer168</t>
  </si>
  <si>
    <t>GST/2324/047</t>
  </si>
  <si>
    <t>SOF2021229</t>
  </si>
  <si>
    <t>C0167</t>
  </si>
  <si>
    <t>Customer167</t>
  </si>
  <si>
    <t>GST/2324/048</t>
  </si>
  <si>
    <t>SOF2021230</t>
  </si>
  <si>
    <t>C0166</t>
  </si>
  <si>
    <t>Customer166</t>
  </si>
  <si>
    <t>Agra</t>
  </si>
  <si>
    <t>GST/2324/049</t>
  </si>
  <si>
    <t>SOF2021231</t>
  </si>
  <si>
    <t>C0165</t>
  </si>
  <si>
    <t>Customer165</t>
  </si>
  <si>
    <t>GST/2324/050</t>
  </si>
  <si>
    <t>SOF2021246</t>
  </si>
  <si>
    <t>C0183</t>
  </si>
  <si>
    <t>Customer183</t>
  </si>
  <si>
    <t>GST/2324/051</t>
  </si>
  <si>
    <t>SOF2021247</t>
  </si>
  <si>
    <t>C0184</t>
  </si>
  <si>
    <t>Customer184</t>
  </si>
  <si>
    <t>GST/2324/052</t>
  </si>
  <si>
    <t>SOF2021248</t>
  </si>
  <si>
    <t>C0262</t>
  </si>
  <si>
    <t>Customer262</t>
  </si>
  <si>
    <t>GST/2324/053</t>
  </si>
  <si>
    <t>SOF2021249</t>
  </si>
  <si>
    <t>C0263</t>
  </si>
  <si>
    <t>Customer263</t>
  </si>
  <si>
    <t>GST/2324/054</t>
  </si>
  <si>
    <t>SOF2021250</t>
  </si>
  <si>
    <t>C0265</t>
  </si>
  <si>
    <t>Customer265</t>
  </si>
  <si>
    <t>GST/2324/055</t>
  </si>
  <si>
    <t>SOF2021251</t>
  </si>
  <si>
    <t>C0264</t>
  </si>
  <si>
    <t>Customer264</t>
  </si>
  <si>
    <t>GST/2324/056</t>
  </si>
  <si>
    <t>SOF2021252</t>
  </si>
  <si>
    <t>C0266</t>
  </si>
  <si>
    <t>Customer266</t>
  </si>
  <si>
    <t>GST/2324/057</t>
  </si>
  <si>
    <t>SOF2021253</t>
  </si>
  <si>
    <t>C0269</t>
  </si>
  <si>
    <t>Customer269</t>
  </si>
  <si>
    <t>GST/2324/058</t>
  </si>
  <si>
    <t>SOF2021254</t>
  </si>
  <si>
    <t>C0268</t>
  </si>
  <si>
    <t>Customer268</t>
  </si>
  <si>
    <t>GST/2324/059</t>
  </si>
  <si>
    <t>SOF2021255</t>
  </si>
  <si>
    <t>C0270</t>
  </si>
  <si>
    <t>Customer270</t>
  </si>
  <si>
    <t>GST/2324/060</t>
  </si>
  <si>
    <t>SOF2021256</t>
  </si>
  <si>
    <t>C0271</t>
  </si>
  <si>
    <t>Customer271</t>
  </si>
  <si>
    <t>GST/2324/061</t>
  </si>
  <si>
    <t>SOF2021257</t>
  </si>
  <si>
    <t>C0276</t>
  </si>
  <si>
    <t>Customer276</t>
  </si>
  <si>
    <t>Pune</t>
  </si>
  <si>
    <t>GST/2324/062</t>
  </si>
  <si>
    <t>SOF2021258</t>
  </si>
  <si>
    <t>C0275</t>
  </si>
  <si>
    <t>Customer275</t>
  </si>
  <si>
    <t>GST/2324/063</t>
  </si>
  <si>
    <t>SOF2021259</t>
  </si>
  <si>
    <t>C0272</t>
  </si>
  <si>
    <t>Customer272</t>
  </si>
  <si>
    <t>GST/2324/064</t>
  </si>
  <si>
    <t>SOF2021260</t>
  </si>
  <si>
    <t>C0277</t>
  </si>
  <si>
    <t>Customer277</t>
  </si>
  <si>
    <t>GST/2324/065</t>
  </si>
  <si>
    <t>SOF2021261</t>
  </si>
  <si>
    <t>C0290</t>
  </si>
  <si>
    <t>Customer290</t>
  </si>
  <si>
    <t>GST/2324/066</t>
  </si>
  <si>
    <t>SOF2021262</t>
  </si>
  <si>
    <t>C0289</t>
  </si>
  <si>
    <t>Customer289</t>
  </si>
  <si>
    <t>GST/2324/067</t>
  </si>
  <si>
    <t>SOF2021263</t>
  </si>
  <si>
    <t>C0293</t>
  </si>
  <si>
    <t>Customer293</t>
  </si>
  <si>
    <t>GST/2324/068</t>
  </si>
  <si>
    <t>SOF2021264</t>
  </si>
  <si>
    <t>C0294</t>
  </si>
  <si>
    <t>Customer294</t>
  </si>
  <si>
    <t>GST/2324/069</t>
  </si>
  <si>
    <t>SOF2021265</t>
  </si>
  <si>
    <t>C0318</t>
  </si>
  <si>
    <t>Customer318</t>
  </si>
  <si>
    <t>Mapusa</t>
  </si>
  <si>
    <t>GST/2324/071</t>
  </si>
  <si>
    <t>SOS2021069</t>
  </si>
  <si>
    <t>C0005</t>
  </si>
  <si>
    <t>Customer005</t>
  </si>
  <si>
    <t>GST/2324/072</t>
  </si>
  <si>
    <t>SOS2021070</t>
  </si>
  <si>
    <t>C0489</t>
  </si>
  <si>
    <t>Customer489</t>
  </si>
  <si>
    <t>GST/2324/073</t>
  </si>
  <si>
    <t>SOA2021075</t>
  </si>
  <si>
    <t>C0461</t>
  </si>
  <si>
    <t>Customer461</t>
  </si>
  <si>
    <t>GST/2324/074</t>
  </si>
  <si>
    <t>SOA2021076</t>
  </si>
  <si>
    <t>C0460</t>
  </si>
  <si>
    <t>Customer460</t>
  </si>
  <si>
    <t>GST/2324/075</t>
  </si>
  <si>
    <t>SOA2021077</t>
  </si>
  <si>
    <t>C0459</t>
  </si>
  <si>
    <t>Customer459</t>
  </si>
  <si>
    <t>GST/2324/076</t>
  </si>
  <si>
    <t>SOA2021078</t>
  </si>
  <si>
    <t>C0458</t>
  </si>
  <si>
    <t>Customer458</t>
  </si>
  <si>
    <t>GST/2324/077</t>
  </si>
  <si>
    <t>SOA2021079</t>
  </si>
  <si>
    <t>C0457</t>
  </si>
  <si>
    <t>Customer457</t>
  </si>
  <si>
    <t>GST/2324/078</t>
  </si>
  <si>
    <t>SOA2021080</t>
  </si>
  <si>
    <t>C0456</t>
  </si>
  <si>
    <t>Customer456</t>
  </si>
  <si>
    <t>GST/2324/079</t>
  </si>
  <si>
    <t>SOA2021081</t>
  </si>
  <si>
    <t>C0455</t>
  </si>
  <si>
    <t>Customer455</t>
  </si>
  <si>
    <t>GST/2324/080</t>
  </si>
  <si>
    <t>SOA2021082</t>
  </si>
  <si>
    <t>C0454</t>
  </si>
  <si>
    <t>Customer454</t>
  </si>
  <si>
    <t>GST/2324/081</t>
  </si>
  <si>
    <t>SOA2021083</t>
  </si>
  <si>
    <t>C0453</t>
  </si>
  <si>
    <t>Customer453</t>
  </si>
  <si>
    <t>Surat</t>
  </si>
  <si>
    <t>GST/2324/082</t>
  </si>
  <si>
    <t>SOA2021084</t>
  </si>
  <si>
    <t>C0452</t>
  </si>
  <si>
    <t>Customer452</t>
  </si>
  <si>
    <t>GST/2324/083</t>
  </si>
  <si>
    <t>SOA2021085</t>
  </si>
  <si>
    <t>C0451</t>
  </si>
  <si>
    <t>Customer451</t>
  </si>
  <si>
    <t>GST/2324/084</t>
  </si>
  <si>
    <t>SOA2021086</t>
  </si>
  <si>
    <t>C0450</t>
  </si>
  <si>
    <t>Customer450</t>
  </si>
  <si>
    <t>GST/2324/085</t>
  </si>
  <si>
    <t>SOA2021087</t>
  </si>
  <si>
    <t>C0374</t>
  </si>
  <si>
    <t>Customer374</t>
  </si>
  <si>
    <t>GST/2324/086</t>
  </si>
  <si>
    <t>SOA2021088</t>
  </si>
  <si>
    <t>C0373</t>
  </si>
  <si>
    <t>Customer373</t>
  </si>
  <si>
    <t>GST/2324/088</t>
  </si>
  <si>
    <t>SOA2021090</t>
  </si>
  <si>
    <t>C0371</t>
  </si>
  <si>
    <t>Customer371</t>
  </si>
  <si>
    <t>GST/2324/089</t>
  </si>
  <si>
    <t>SOA2021091</t>
  </si>
  <si>
    <t>C0370</t>
  </si>
  <si>
    <t>Customer370</t>
  </si>
  <si>
    <t>GST/2324/090</t>
  </si>
  <si>
    <t>SOA2021092</t>
  </si>
  <si>
    <t>C0369</t>
  </si>
  <si>
    <t>Customer369</t>
  </si>
  <si>
    <t>GST/2324/091</t>
  </si>
  <si>
    <t>SOA2021093</t>
  </si>
  <si>
    <t>C0386</t>
  </si>
  <si>
    <t>Customer386</t>
  </si>
  <si>
    <t>GST/2324/092</t>
  </si>
  <si>
    <t>SOA2021094</t>
  </si>
  <si>
    <t>C0385</t>
  </si>
  <si>
    <t>Customer385</t>
  </si>
  <si>
    <t>GST/2324/093</t>
  </si>
  <si>
    <t>SOA2021095</t>
  </si>
  <si>
    <t>C0384</t>
  </si>
  <si>
    <t>Customer384</t>
  </si>
  <si>
    <t>GST/2324/094</t>
  </si>
  <si>
    <t>SOA2021096</t>
  </si>
  <si>
    <t>C0383</t>
  </si>
  <si>
    <t>Customer383</t>
  </si>
  <si>
    <t>GST/2324/095</t>
  </si>
  <si>
    <t>SOA2021097</t>
  </si>
  <si>
    <t>C0382</t>
  </si>
  <si>
    <t>Customer382</t>
  </si>
  <si>
    <t>GST/2324/096</t>
  </si>
  <si>
    <t>SOS2021086</t>
  </si>
  <si>
    <t>C0229</t>
  </si>
  <si>
    <t>Customer229</t>
  </si>
  <si>
    <t>MTR</t>
  </si>
  <si>
    <t>GST/2324/097</t>
  </si>
  <si>
    <t>SOS2021087</t>
  </si>
  <si>
    <t>C0230</t>
  </si>
  <si>
    <t>Customer230</t>
  </si>
  <si>
    <t>GST/2324/099</t>
  </si>
  <si>
    <t>SOS2021089</t>
  </si>
  <si>
    <t>C0234</t>
  </si>
  <si>
    <t>Customer234</t>
  </si>
  <si>
    <t>GST/2324/100</t>
  </si>
  <si>
    <t>SOS2021090</t>
  </si>
  <si>
    <t>C0233</t>
  </si>
  <si>
    <t>Customer233</t>
  </si>
  <si>
    <t>Item3005ProductVH</t>
  </si>
  <si>
    <t>ProductVH</t>
  </si>
  <si>
    <t>GST/2324/101</t>
  </si>
  <si>
    <t>SOS2021091</t>
  </si>
  <si>
    <t>C0232</t>
  </si>
  <si>
    <t>Customer232</t>
  </si>
  <si>
    <t>GST/2324/102</t>
  </si>
  <si>
    <t>SOS2021092</t>
  </si>
  <si>
    <t>C0235</t>
  </si>
  <si>
    <t>Customer235</t>
  </si>
  <si>
    <t>Lucknow</t>
  </si>
  <si>
    <t>GST/2324/103</t>
  </si>
  <si>
    <t>SOS2021093</t>
  </si>
  <si>
    <t>C0241</t>
  </si>
  <si>
    <t>Customer241</t>
  </si>
  <si>
    <t>GST/2324/104</t>
  </si>
  <si>
    <t>SOS2021099</t>
  </si>
  <si>
    <t>C0110</t>
  </si>
  <si>
    <t>Customer110</t>
  </si>
  <si>
    <t>GST/2324/105</t>
  </si>
  <si>
    <t>SOS2021100</t>
  </si>
  <si>
    <t>C0118</t>
  </si>
  <si>
    <t>Customer118</t>
  </si>
  <si>
    <t>GST/2324/106</t>
  </si>
  <si>
    <t>SOF2021271</t>
  </si>
  <si>
    <t>C0117</t>
  </si>
  <si>
    <t>Customer117</t>
  </si>
  <si>
    <t>GST/2324/107</t>
  </si>
  <si>
    <t>SOF2021272</t>
  </si>
  <si>
    <t>C0116</t>
  </si>
  <si>
    <t>Customer116</t>
  </si>
  <si>
    <t>GST/2324/108</t>
  </si>
  <si>
    <t>SOF2021273</t>
  </si>
  <si>
    <t>C0115</t>
  </si>
  <si>
    <t>Customer115</t>
  </si>
  <si>
    <t>GST/2324/111</t>
  </si>
  <si>
    <t>SOF2021276</t>
  </si>
  <si>
    <t>C0112</t>
  </si>
  <si>
    <t>Customer112</t>
  </si>
  <si>
    <t>GST/2324/112</t>
  </si>
  <si>
    <t>SOF2021277</t>
  </si>
  <si>
    <t>GST/2324/113</t>
  </si>
  <si>
    <t>SOF2021278</t>
  </si>
  <si>
    <t>C0120</t>
  </si>
  <si>
    <t>Customer120</t>
  </si>
  <si>
    <t>GST/2324/114</t>
  </si>
  <si>
    <t>SOF2021279</t>
  </si>
  <si>
    <t>GST/2324/115</t>
  </si>
  <si>
    <t>SOF2021280</t>
  </si>
  <si>
    <t>C0122</t>
  </si>
  <si>
    <t>Customer122</t>
  </si>
  <si>
    <t>GST/2324/116</t>
  </si>
  <si>
    <t>SOF2021281</t>
  </si>
  <si>
    <t>C0126</t>
  </si>
  <si>
    <t>Customer126</t>
  </si>
  <si>
    <t>GST/2324/117</t>
  </si>
  <si>
    <t>SOF2021282</t>
  </si>
  <si>
    <t>C0125</t>
  </si>
  <si>
    <t>Customer125</t>
  </si>
  <si>
    <t>GST/2324/118</t>
  </si>
  <si>
    <t>SOF2021283</t>
  </si>
  <si>
    <t>C0124</t>
  </si>
  <si>
    <t>Customer124</t>
  </si>
  <si>
    <t>GST/2324/119</t>
  </si>
  <si>
    <t>SOF2021284</t>
  </si>
  <si>
    <t>C0123</t>
  </si>
  <si>
    <t>Customer123</t>
  </si>
  <si>
    <t>GST/2324/120</t>
  </si>
  <si>
    <t>SOF2021285</t>
  </si>
  <si>
    <t>C0127</t>
  </si>
  <si>
    <t>Customer127</t>
  </si>
  <si>
    <t>GST/2324/121</t>
  </si>
  <si>
    <t>SOF2021286</t>
  </si>
  <si>
    <t>C0131</t>
  </si>
  <si>
    <t>Customer131</t>
  </si>
  <si>
    <t>GST/2324/122</t>
  </si>
  <si>
    <t>SOF2021287</t>
  </si>
  <si>
    <t>C0130</t>
  </si>
  <si>
    <t>Customer130</t>
  </si>
  <si>
    <t>GST/2324/123</t>
  </si>
  <si>
    <t>SOF2021288</t>
  </si>
  <si>
    <t>C0129</t>
  </si>
  <si>
    <t>Customer129</t>
  </si>
  <si>
    <t>GST/2324/124</t>
  </si>
  <si>
    <t>SOF2021289</t>
  </si>
  <si>
    <t>GST/2324/125</t>
  </si>
  <si>
    <t>SOF2021290</t>
  </si>
  <si>
    <t>GST/2324/126</t>
  </si>
  <si>
    <t>SOF2021291</t>
  </si>
  <si>
    <t>GST/2324/127</t>
  </si>
  <si>
    <t>SOF2021292</t>
  </si>
  <si>
    <t>C0093</t>
  </si>
  <si>
    <t>Customer093</t>
  </si>
  <si>
    <t>GST/2324/128</t>
  </si>
  <si>
    <t>SOF2021293</t>
  </si>
  <si>
    <t>C0092</t>
  </si>
  <si>
    <t>Customer092</t>
  </si>
  <si>
    <t>GST/2324/129</t>
  </si>
  <si>
    <t>SOF2021294</t>
  </si>
  <si>
    <t>C0091</t>
  </si>
  <si>
    <t>Customer091</t>
  </si>
  <si>
    <t>GST/2324/130</t>
  </si>
  <si>
    <t>SOF2021295</t>
  </si>
  <si>
    <t>C0090</t>
  </si>
  <si>
    <t>Customer090</t>
  </si>
  <si>
    <t>GST/2324/131</t>
  </si>
  <si>
    <t>SOF2021296</t>
  </si>
  <si>
    <t>C0098</t>
  </si>
  <si>
    <t>Customer098</t>
  </si>
  <si>
    <t>GST/2324/132</t>
  </si>
  <si>
    <t>SOF2021297</t>
  </si>
  <si>
    <t>GST/2324/133</t>
  </si>
  <si>
    <t>SOF2021298</t>
  </si>
  <si>
    <t>GST/2324/134</t>
  </si>
  <si>
    <t>SOF2021299</t>
  </si>
  <si>
    <t>GST/2324/135</t>
  </si>
  <si>
    <t>SOF2021300</t>
  </si>
  <si>
    <t>C0102</t>
  </si>
  <si>
    <t>Customer102</t>
  </si>
  <si>
    <t>GST/2324/136</t>
  </si>
  <si>
    <t>SOF2021301</t>
  </si>
  <si>
    <t>C0101</t>
  </si>
  <si>
    <t>Customer101</t>
  </si>
  <si>
    <t>Ajmer</t>
  </si>
  <si>
    <t>GST/2324/137</t>
  </si>
  <si>
    <t>SOF2021302</t>
  </si>
  <si>
    <t>C0100</t>
  </si>
  <si>
    <t>Customer100</t>
  </si>
  <si>
    <t>GST/2324/138</t>
  </si>
  <si>
    <t>SOF2021327</t>
  </si>
  <si>
    <t>C0471</t>
  </si>
  <si>
    <t>Customer471</t>
  </si>
  <si>
    <t>GST/2324/139</t>
  </si>
  <si>
    <t>SOF2021328</t>
  </si>
  <si>
    <t>C0470</t>
  </si>
  <si>
    <t>Customer470</t>
  </si>
  <si>
    <t>GST/2324/140</t>
  </si>
  <si>
    <t>SOF2021329</t>
  </si>
  <si>
    <t>C0469</t>
  </si>
  <si>
    <t>Customer469</t>
  </si>
  <si>
    <t>GST/2324/141</t>
  </si>
  <si>
    <t>SOF2021330</t>
  </si>
  <si>
    <t>C0468</t>
  </si>
  <si>
    <t>Customer468</t>
  </si>
  <si>
    <t>GST/2324/142</t>
  </si>
  <si>
    <t>SOF2021331</t>
  </si>
  <si>
    <t>C0467</t>
  </si>
  <si>
    <t>Customer467</t>
  </si>
  <si>
    <t>GST/2324/143</t>
  </si>
  <si>
    <t>SOF2021332</t>
  </si>
  <si>
    <t>C0479</t>
  </si>
  <si>
    <t>Customer479</t>
  </si>
  <si>
    <t>GST/2324/144</t>
  </si>
  <si>
    <t>SOF2021333</t>
  </si>
  <si>
    <t>GST/2324/145</t>
  </si>
  <si>
    <t>SOF2021334</t>
  </si>
  <si>
    <t>C0499</t>
  </si>
  <si>
    <t>Customer499</t>
  </si>
  <si>
    <t>GST/2324/146</t>
  </si>
  <si>
    <t>SOF2021335</t>
  </si>
  <si>
    <t>GST/2324/147</t>
  </si>
  <si>
    <t>SOF2021336</t>
  </si>
  <si>
    <t>GST/2324/148</t>
  </si>
  <si>
    <t>SOF2021337</t>
  </si>
  <si>
    <t>GST/2324/149</t>
  </si>
  <si>
    <t>SOF2021338</t>
  </si>
  <si>
    <t>GST/2324/150</t>
  </si>
  <si>
    <t>SOF2021339</t>
  </si>
  <si>
    <t>C0494</t>
  </si>
  <si>
    <t>Customer494</t>
  </si>
  <si>
    <t>Jodhpur</t>
  </si>
  <si>
    <t>GST/2324/152</t>
  </si>
  <si>
    <t>SOF2021341</t>
  </si>
  <si>
    <t>C0492</t>
  </si>
  <si>
    <t>Customer492</t>
  </si>
  <si>
    <t>GST/2324/153</t>
  </si>
  <si>
    <t>SOF2021342</t>
  </si>
  <si>
    <t>C0491</t>
  </si>
  <si>
    <t>Customer491</t>
  </si>
  <si>
    <t>GST/2324/154</t>
  </si>
  <si>
    <t>SOF2021343</t>
  </si>
  <si>
    <t>C0490</t>
  </si>
  <si>
    <t>Customer490</t>
  </si>
  <si>
    <t>Item3004ProductMK</t>
  </si>
  <si>
    <t>ProductMK</t>
  </si>
  <si>
    <t>GST/2324/155</t>
  </si>
  <si>
    <t>SOF2021344</t>
  </si>
  <si>
    <t>GST/2324/156</t>
  </si>
  <si>
    <t>SOF2021345</t>
  </si>
  <si>
    <t>C0488</t>
  </si>
  <si>
    <t>Customer488</t>
  </si>
  <si>
    <t>GST/2324/157</t>
  </si>
  <si>
    <t>SOF2021346</t>
  </si>
  <si>
    <t>C0487</t>
  </si>
  <si>
    <t>Customer487</t>
  </si>
  <si>
    <t>GST/2324/158</t>
  </si>
  <si>
    <t>SOF2021347</t>
  </si>
  <si>
    <t>C0486</t>
  </si>
  <si>
    <t>Customer486</t>
  </si>
  <si>
    <t>GST/2324/159</t>
  </si>
  <si>
    <t>SOF2021348</t>
  </si>
  <si>
    <t>GST/2324/163</t>
  </si>
  <si>
    <t>SOF2021352</t>
  </si>
  <si>
    <t>C0443</t>
  </si>
  <si>
    <t>Customer443</t>
  </si>
  <si>
    <t>GST/2324/164</t>
  </si>
  <si>
    <t>SOF2021353</t>
  </si>
  <si>
    <t>C0445</t>
  </si>
  <si>
    <t>Customer445</t>
  </si>
  <si>
    <t>LTR</t>
  </si>
  <si>
    <t>GST/2324/165</t>
  </si>
  <si>
    <t>SOF2021354</t>
  </si>
  <si>
    <t>GST/2324/166</t>
  </si>
  <si>
    <t>SOF2021355</t>
  </si>
  <si>
    <t>GST/2324/167</t>
  </si>
  <si>
    <t>SOF2021356</t>
  </si>
  <si>
    <t>GST/2324/168</t>
  </si>
  <si>
    <t>SOF2021357</t>
  </si>
  <si>
    <t>GST/2324/170</t>
  </si>
  <si>
    <t>SOF2021359</t>
  </si>
  <si>
    <t>GST/2324/171</t>
  </si>
  <si>
    <t>SOF2021360</t>
  </si>
  <si>
    <t>GST/2324/173</t>
  </si>
  <si>
    <t>SOF2021362</t>
  </si>
  <si>
    <t>GST/2324/175</t>
  </si>
  <si>
    <t>SOF2021364</t>
  </si>
  <si>
    <t>GST/2324/176</t>
  </si>
  <si>
    <t>SOF2021365</t>
  </si>
  <si>
    <t>GST/2324/177</t>
  </si>
  <si>
    <t>SOF2021366</t>
  </si>
  <si>
    <t>GST/2324/178</t>
  </si>
  <si>
    <t>SOF2021367</t>
  </si>
  <si>
    <t>GST/2324/179</t>
  </si>
  <si>
    <t>SOF2021368</t>
  </si>
  <si>
    <t>GST/2324/180</t>
  </si>
  <si>
    <t>SOF2021369</t>
  </si>
  <si>
    <t>GST/2324/183</t>
  </si>
  <si>
    <t>SOF2021372</t>
  </si>
  <si>
    <t>C0465</t>
  </si>
  <si>
    <t>Customer465</t>
  </si>
  <si>
    <t>GST/2324/184</t>
  </si>
  <si>
    <t>SOF2021373</t>
  </si>
  <si>
    <t>C0464</t>
  </si>
  <si>
    <t>Customer464</t>
  </si>
  <si>
    <t>GST/2324/186</t>
  </si>
  <si>
    <t>SOF2021392</t>
  </si>
  <si>
    <t>GST/2324/187</t>
  </si>
  <si>
    <t>SOF2021393</t>
  </si>
  <si>
    <t>C0052</t>
  </si>
  <si>
    <t>Customer052</t>
  </si>
  <si>
    <t>GST/2324/188</t>
  </si>
  <si>
    <t>SOF2021394</t>
  </si>
  <si>
    <t>GST/2324/189</t>
  </si>
  <si>
    <t>SOF2021395</t>
  </si>
  <si>
    <t>C0044</t>
  </si>
  <si>
    <t>Customer044</t>
  </si>
  <si>
    <t>GST/2324/190</t>
  </si>
  <si>
    <t>SOF2021396</t>
  </si>
  <si>
    <t>C0051</t>
  </si>
  <si>
    <t>Customer051</t>
  </si>
  <si>
    <t>GST/2324/191</t>
  </si>
  <si>
    <t>SOF2021397</t>
  </si>
  <si>
    <t>GST/2324/192</t>
  </si>
  <si>
    <t>SOF2021398</t>
  </si>
  <si>
    <t>GST/2324/193</t>
  </si>
  <si>
    <t>SOF2021399</t>
  </si>
  <si>
    <t>GST/2324/195</t>
  </si>
  <si>
    <t>SOF2021401</t>
  </si>
  <si>
    <t>GST/2324/196</t>
  </si>
  <si>
    <t>SOF2021402</t>
  </si>
  <si>
    <t>GST/2324/197</t>
  </si>
  <si>
    <t>SOF2021403</t>
  </si>
  <si>
    <t>GST/2324/198</t>
  </si>
  <si>
    <t>SOF2021404</t>
  </si>
  <si>
    <t>GST/2324/199</t>
  </si>
  <si>
    <t>SOF2021464</t>
  </si>
  <si>
    <t>C0308</t>
  </si>
  <si>
    <t>Customer308</t>
  </si>
  <si>
    <t>GST/2324/201</t>
  </si>
  <si>
    <t>SOF2021466</t>
  </si>
  <si>
    <t>C0321</t>
  </si>
  <si>
    <t>Customer321</t>
  </si>
  <si>
    <t>Nagpur</t>
  </si>
  <si>
    <t>GST/2324/202</t>
  </si>
  <si>
    <t>SOF2021467</t>
  </si>
  <si>
    <t>C0320</t>
  </si>
  <si>
    <t>Customer320</t>
  </si>
  <si>
    <t>GST/2324/203</t>
  </si>
  <si>
    <t>SOF2021468</t>
  </si>
  <si>
    <t>C0319</t>
  </si>
  <si>
    <t>Customer319</t>
  </si>
  <si>
    <t>GST/2324/204</t>
  </si>
  <si>
    <t>SOF2021469</t>
  </si>
  <si>
    <t>Grand Total</t>
  </si>
  <si>
    <t>Sales_</t>
  </si>
  <si>
    <t>Sales by region</t>
  </si>
  <si>
    <t>Sales by divison</t>
  </si>
  <si>
    <t>Sales by Region</t>
  </si>
  <si>
    <t>Sales by Year</t>
  </si>
  <si>
    <t>Sales by category</t>
  </si>
  <si>
    <t>Sales by year</t>
  </si>
  <si>
    <t>Sales by Category</t>
  </si>
  <si>
    <t>Sales by Segmentation</t>
  </si>
  <si>
    <t xml:space="preserve"> Sales by Channel</t>
  </si>
  <si>
    <t>Sales by Sales by Channel</t>
  </si>
  <si>
    <t>Top 10  Customer by Sales</t>
  </si>
  <si>
    <t>Customers</t>
  </si>
  <si>
    <t>Top Sales Manager</t>
  </si>
  <si>
    <t>Top Item Manager</t>
  </si>
  <si>
    <t>item group</t>
  </si>
  <si>
    <t>Manager</t>
  </si>
  <si>
    <t>SALES ANALYSIS DASHBOARD  |  FY 2022-23 &amp; 2023-24</t>
  </si>
  <si>
    <t>Total Sales</t>
  </si>
  <si>
    <t>Sum of GST Amount</t>
  </si>
  <si>
    <t>Total GST</t>
  </si>
  <si>
    <t>Sum of Quantity</t>
  </si>
  <si>
    <t>Total Quantity</t>
  </si>
  <si>
    <t>Count of inv_invoice_no</t>
  </si>
  <si>
    <t>Unique Count of invoice</t>
  </si>
  <si>
    <t>Total Invoice</t>
  </si>
  <si>
    <t>Total Sales By region</t>
  </si>
  <si>
    <t>Summary Of Analysis</t>
  </si>
  <si>
    <t>East Region contribute  10.7Cr Rupee, the higest amoung all region</t>
  </si>
  <si>
    <t>Division C accounts for ₹11.8 Cr in sales, significantly ahead of all other divisions.</t>
  </si>
  <si>
    <t>Sales grew from ₹10.1 Cr in FY22-23 to ₹13.37 Cr in FY23-24 — a growth of 315%.</t>
  </si>
  <si>
    <t>Manufacturers contribute ₹13.2 Cr, making them the most valuable customer segment.</t>
  </si>
  <si>
    <t>B2B sales account for ₹14 Cr vs B2C at ₹1.5 Cr — B2B is clearly the core revenue driver.</t>
  </si>
  <si>
    <t>Customer128 alone contributes ₹10.4 Cr — nearly 77% of total sales.</t>
  </si>
  <si>
    <t>Paras Chabra drives ₹11 Cr in sales — the highest contribution by any single manager.</t>
  </si>
  <si>
    <t>Channel 1 contributes ₹11.07Cr — the dominant route to 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</si>
</sst>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5"/>
      <color theme="1"/>
      <name val="Calibri"/>
      <family val="2"/>
      <scheme val="minor"/>
    </font>
    <font>
      <sz val="20"/>
      <color theme="1"/>
      <name val="Calibri"/>
      <family val="2"/>
      <scheme val="minor"/>
    </font>
    <font>
      <sz val="12"/>
      <color theme="1"/>
      <name val="Calibri"/>
      <family val="2"/>
      <scheme val="minor"/>
    </font>
    <font>
      <sz val="15"/>
      <color theme="1"/>
      <name val="Calibri"/>
      <family val="2"/>
      <scheme val="minor"/>
    </font>
    <font>
      <sz val="8"/>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2" tint="-0.249977111117893"/>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8" tint="0.79998168889431442"/>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s>
  <cellStyleXfs count="44">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40">
    <xf numFmtId="0" fontId="0" fillId="0" borderId="0" xfId="0"/>
    <xf numFmtId="14" fontId="0" fillId="0" borderId="0" xfId="0" applyNumberFormat="1"/>
    <xf numFmtId="3"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16" fillId="35" borderId="19" xfId="0" applyFont="1" applyFill="1" applyBorder="1"/>
    <xf numFmtId="0" fontId="0" fillId="0" borderId="10" xfId="0" applyBorder="1"/>
    <xf numFmtId="0" fontId="0" fillId="0" borderId="2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21" xfId="0" applyBorder="1"/>
    <xf numFmtId="0" fontId="0" fillId="0" borderId="15" xfId="0" applyBorder="1"/>
    <xf numFmtId="0" fontId="21" fillId="34" borderId="16" xfId="0" applyFont="1" applyFill="1" applyBorder="1" applyAlignment="1">
      <alignment horizontal="center"/>
    </xf>
    <xf numFmtId="0" fontId="21" fillId="34" borderId="17" xfId="0" applyFont="1" applyFill="1" applyBorder="1" applyAlignment="1">
      <alignment horizontal="center"/>
    </xf>
    <xf numFmtId="0" fontId="21" fillId="34" borderId="18" xfId="0" applyFont="1" applyFill="1" applyBorder="1" applyAlignment="1">
      <alignment horizontal="center"/>
    </xf>
    <xf numFmtId="0" fontId="0" fillId="0" borderId="0" xfId="0" applyAlignment="1">
      <alignment horizontal="center"/>
    </xf>
    <xf numFmtId="44" fontId="19" fillId="33" borderId="12" xfId="1" applyFont="1" applyFill="1" applyBorder="1" applyAlignment="1">
      <alignment horizontal="center" vertical="center"/>
    </xf>
    <xf numFmtId="44" fontId="19" fillId="33" borderId="13" xfId="1" applyFont="1" applyFill="1" applyBorder="1" applyAlignment="1">
      <alignment horizontal="center" vertical="center"/>
    </xf>
    <xf numFmtId="44" fontId="19" fillId="33" borderId="14" xfId="1" applyFont="1" applyFill="1" applyBorder="1" applyAlignment="1">
      <alignment horizontal="center" vertical="center"/>
    </xf>
    <xf numFmtId="44" fontId="19" fillId="33" borderId="15" xfId="1" applyFont="1" applyFill="1" applyBorder="1" applyAlignment="1">
      <alignment horizontal="center" vertical="center"/>
    </xf>
    <xf numFmtId="0" fontId="20" fillId="0" borderId="10" xfId="0" applyFont="1" applyBorder="1" applyAlignment="1">
      <alignment horizontal="center" vertical="center"/>
    </xf>
    <xf numFmtId="0" fontId="20" fillId="0" borderId="11" xfId="0" applyFont="1" applyBorder="1" applyAlignment="1">
      <alignment horizontal="center" vertical="center"/>
    </xf>
    <xf numFmtId="0" fontId="20" fillId="0" borderId="12" xfId="0" applyFont="1" applyBorder="1" applyAlignment="1">
      <alignment horizontal="center" vertical="center"/>
    </xf>
    <xf numFmtId="0" fontId="20" fillId="0" borderId="13" xfId="0" applyFont="1" applyBorder="1" applyAlignment="1">
      <alignment horizontal="center" vertical="center"/>
    </xf>
    <xf numFmtId="0" fontId="18" fillId="33" borderId="12" xfId="0" applyFont="1" applyFill="1" applyBorder="1" applyAlignment="1">
      <alignment horizontal="center" vertical="center"/>
    </xf>
    <xf numFmtId="0" fontId="18" fillId="33" borderId="13" xfId="0" applyFont="1" applyFill="1" applyBorder="1" applyAlignment="1">
      <alignment horizontal="center" vertical="center"/>
    </xf>
    <xf numFmtId="0" fontId="18" fillId="33" borderId="14" xfId="0" applyFont="1" applyFill="1" applyBorder="1" applyAlignment="1">
      <alignment horizontal="center" vertical="center"/>
    </xf>
    <xf numFmtId="0" fontId="18" fillId="33" borderId="15" xfId="0" applyFont="1" applyFill="1" applyBorder="1" applyAlignment="1">
      <alignment horizontal="center" vertical="center"/>
    </xf>
    <xf numFmtId="0" fontId="0" fillId="33" borderId="0" xfId="0" applyFill="1" applyAlignment="1">
      <alignment horizontal="center"/>
    </xf>
    <xf numFmtId="0" fontId="0" fillId="0" borderId="0" xfId="0" applyNumberFormat="1"/>
    <xf numFmtId="0" fontId="0" fillId="36" borderId="0" xfId="0" applyFill="1" applyAlignment="1">
      <alignment horizontal="center"/>
    </xf>
    <xf numFmtId="44" fontId="0" fillId="0" borderId="0" xfId="0" applyNumberFormat="1"/>
    <xf numFmtId="10" fontId="0" fillId="0" borderId="0" xfId="43" applyNumberFormat="1" applyFont="1"/>
    <xf numFmtId="2" fontId="0" fillId="0" borderId="0" xfId="0" applyNumberFormat="1"/>
    <xf numFmtId="0" fontId="0" fillId="0" borderId="0" xfId="43" applyNumberFormat="1" applyFont="1"/>
    <xf numFmtId="0" fontId="0" fillId="37" borderId="22" xfId="0" applyFill="1" applyBorder="1"/>
    <xf numFmtId="0" fontId="0" fillId="37" borderId="22" xfId="0" applyFill="1" applyBorder="1" applyAlignment="1">
      <alignment horizontal="left"/>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43" builtinId="5"/>
    <cellStyle name="Title" xfId="2" builtinId="15" customBuiltin="1"/>
    <cellStyle name="Total" xfId="18" builtinId="25" customBuiltin="1"/>
    <cellStyle name="Warning Text" xfId="15" builtinId="11" customBuiltin="1"/>
  </cellStyles>
  <dxfs count="7">
    <dxf>
      <numFmt numFmtId="0" formatCode="General"/>
    </dxf>
    <dxf>
      <numFmt numFmtId="34" formatCode="_ &quot;₹&quot;\ * #,##0.00_ ;_ &quot;₹&quot;\ * \-#,##0.00_ ;_ &quot;₹&quot;\ * &quot;-&quot;??_ ;_ @_ "/>
    </dxf>
    <dxf>
      <numFmt numFmtId="34" formatCode="_ &quot;₹&quot;\ * #,##0.00_ ;_ &quot;₹&quot;\ * \-#,##0.00_ ;_ &quot;₹&quot;\ * &quot;-&quot;??_ ;_ @_ "/>
    </dxf>
    <dxf>
      <numFmt numFmtId="13" formatCode="0%"/>
    </dxf>
    <dxf>
      <numFmt numFmtId="3" formatCode="#,##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analysis.xlsx]Data 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a:t>
            </a:r>
            <a:r>
              <a:rPr lang="en-US" baseline="0"/>
              <a:t>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barChart>
        <c:barDir val="col"/>
        <c:grouping val="clustered"/>
        <c:varyColors val="0"/>
        <c:ser>
          <c:idx val="0"/>
          <c:order val="0"/>
          <c:tx>
            <c:strRef>
              <c:f>'Data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analysis'!$A$4:$A$9</c:f>
              <c:strCache>
                <c:ptCount val="5"/>
                <c:pt idx="0">
                  <c:v>East</c:v>
                </c:pt>
                <c:pt idx="1">
                  <c:v>North</c:v>
                </c:pt>
                <c:pt idx="2">
                  <c:v>West</c:v>
                </c:pt>
                <c:pt idx="3">
                  <c:v>Central</c:v>
                </c:pt>
                <c:pt idx="4">
                  <c:v>South</c:v>
                </c:pt>
              </c:strCache>
            </c:strRef>
          </c:cat>
          <c:val>
            <c:numRef>
              <c:f>'Data analysis'!$B$4:$B$9</c:f>
              <c:numCache>
                <c:formatCode>_("₹"* #,##0.00_);_("₹"* \(#,##0.00\);_("₹"* "-"??_);_(@_)</c:formatCode>
                <c:ptCount val="5"/>
                <c:pt idx="0">
                  <c:v>107939760</c:v>
                </c:pt>
                <c:pt idx="1">
                  <c:v>41735010</c:v>
                </c:pt>
                <c:pt idx="2">
                  <c:v>9643610</c:v>
                </c:pt>
                <c:pt idx="3">
                  <c:v>5476730</c:v>
                </c:pt>
                <c:pt idx="4">
                  <c:v>1202330</c:v>
                </c:pt>
              </c:numCache>
            </c:numRef>
          </c:val>
          <c:extLst>
            <c:ext xmlns:c16="http://schemas.microsoft.com/office/drawing/2014/chart" uri="{C3380CC4-5D6E-409C-BE32-E72D297353CC}">
              <c16:uniqueId val="{00000000-33B9-4419-8807-A08F3FDB2984}"/>
            </c:ext>
          </c:extLst>
        </c:ser>
        <c:dLbls>
          <c:dLblPos val="outEnd"/>
          <c:showLegendKey val="0"/>
          <c:showVal val="1"/>
          <c:showCatName val="0"/>
          <c:showSerName val="0"/>
          <c:showPercent val="0"/>
          <c:showBubbleSize val="0"/>
        </c:dLbls>
        <c:gapWidth val="219"/>
        <c:overlap val="-27"/>
        <c:axId val="1524226751"/>
        <c:axId val="1524233951"/>
      </c:barChart>
      <c:catAx>
        <c:axId val="152422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233951"/>
        <c:crosses val="autoZero"/>
        <c:auto val="1"/>
        <c:lblAlgn val="ctr"/>
        <c:lblOffset val="100"/>
        <c:noMultiLvlLbl val="0"/>
      </c:catAx>
      <c:valAx>
        <c:axId val="152423395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226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analysis.xlsx]Data analysis!PivotTable5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divison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analysis'!$E$3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analysis'!$D$4:$D$9</c:f>
              <c:strCache>
                <c:ptCount val="5"/>
                <c:pt idx="0">
                  <c:v>Division C</c:v>
                </c:pt>
                <c:pt idx="1">
                  <c:v>Division E</c:v>
                </c:pt>
                <c:pt idx="2">
                  <c:v>Division B</c:v>
                </c:pt>
                <c:pt idx="3">
                  <c:v>Division A</c:v>
                </c:pt>
                <c:pt idx="4">
                  <c:v>Division D</c:v>
                </c:pt>
              </c:strCache>
            </c:strRef>
          </c:cat>
          <c:val>
            <c:numRef>
              <c:f>'Data analysis'!$E$4:$E$9</c:f>
              <c:numCache>
                <c:formatCode>_("₹"* #,##0.00_);_("₹"* \(#,##0.00\);_("₹"* "-"??_);_(@_)</c:formatCode>
                <c:ptCount val="5"/>
                <c:pt idx="0">
                  <c:v>118606440</c:v>
                </c:pt>
                <c:pt idx="1">
                  <c:v>19572390</c:v>
                </c:pt>
                <c:pt idx="2">
                  <c:v>12755390</c:v>
                </c:pt>
                <c:pt idx="3">
                  <c:v>11459180</c:v>
                </c:pt>
                <c:pt idx="4">
                  <c:v>3604040</c:v>
                </c:pt>
              </c:numCache>
            </c:numRef>
          </c:val>
          <c:extLst>
            <c:ext xmlns:c16="http://schemas.microsoft.com/office/drawing/2014/chart" uri="{C3380CC4-5D6E-409C-BE32-E72D297353CC}">
              <c16:uniqueId val="{00000000-0226-468A-B6CA-6A11345003A2}"/>
            </c:ext>
          </c:extLst>
        </c:ser>
        <c:dLbls>
          <c:dLblPos val="outEnd"/>
          <c:showLegendKey val="0"/>
          <c:showVal val="1"/>
          <c:showCatName val="0"/>
          <c:showSerName val="0"/>
          <c:showPercent val="0"/>
          <c:showBubbleSize val="0"/>
        </c:dLbls>
        <c:gapWidth val="182"/>
        <c:axId val="2128662800"/>
        <c:axId val="2128654640"/>
      </c:barChart>
      <c:catAx>
        <c:axId val="212866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654640"/>
        <c:crosses val="autoZero"/>
        <c:auto val="1"/>
        <c:lblAlgn val="ctr"/>
        <c:lblOffset val="100"/>
        <c:noMultiLvlLbl val="0"/>
      </c:catAx>
      <c:valAx>
        <c:axId val="2128654640"/>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66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analysis.xlsx]Data 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analysis'!$H$3</c:f>
              <c:strCache>
                <c:ptCount val="1"/>
                <c:pt idx="0">
                  <c:v>Total</c:v>
                </c:pt>
              </c:strCache>
            </c:strRef>
          </c:tx>
          <c:spPr>
            <a:solidFill>
              <a:schemeClr val="accent6">
                <a:lumMod val="60000"/>
                <a:lumOff val="40000"/>
              </a:schemeClr>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analysis'!$G$4:$G$6</c:f>
              <c:strCache>
                <c:ptCount val="2"/>
                <c:pt idx="0">
                  <c:v>23-24</c:v>
                </c:pt>
                <c:pt idx="1">
                  <c:v>22-23</c:v>
                </c:pt>
              </c:strCache>
            </c:strRef>
          </c:cat>
          <c:val>
            <c:numRef>
              <c:f>'Data analysis'!$H$4:$H$6</c:f>
              <c:numCache>
                <c:formatCode>0.00</c:formatCode>
                <c:ptCount val="2"/>
                <c:pt idx="0">
                  <c:v>133770280</c:v>
                </c:pt>
                <c:pt idx="1">
                  <c:v>32227160</c:v>
                </c:pt>
              </c:numCache>
            </c:numRef>
          </c:val>
          <c:extLst>
            <c:ext xmlns:c16="http://schemas.microsoft.com/office/drawing/2014/chart" uri="{C3380CC4-5D6E-409C-BE32-E72D297353CC}">
              <c16:uniqueId val="{00000000-A718-4C31-A03F-34E467FEF0A3}"/>
            </c:ext>
          </c:extLst>
        </c:ser>
        <c:dLbls>
          <c:showLegendKey val="0"/>
          <c:showVal val="0"/>
          <c:showCatName val="0"/>
          <c:showSerName val="0"/>
          <c:showPercent val="0"/>
          <c:showBubbleSize val="0"/>
        </c:dLbls>
        <c:gapWidth val="150"/>
        <c:axId val="2128677680"/>
        <c:axId val="2128675280"/>
      </c:barChart>
      <c:catAx>
        <c:axId val="2128677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675280"/>
        <c:crosses val="autoZero"/>
        <c:auto val="1"/>
        <c:lblAlgn val="ctr"/>
        <c:lblOffset val="100"/>
        <c:noMultiLvlLbl val="0"/>
      </c:catAx>
      <c:valAx>
        <c:axId val="21286752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677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analysis.xlsx]Data analysis!PivotTable7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a:t>
            </a:r>
            <a:r>
              <a:rPr lang="en-US" baseline="0"/>
              <a: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4.6231799929994464E-3"/>
              <c:y val="-3.243860702424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5.2505096935756036E-3"/>
              <c:y val="0.116291933971492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0377999673962342"/>
              <c:y val="6.805451556832772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4.7780478806891069E-2"/>
              <c:y val="-5.13343317210720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0641370476440001"/>
              <c:y val="-1.03082409712243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'Data analysis'!$B$14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5E-4C26-A18B-C659F63417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5E-4C26-A18B-C659F63417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E5E-4C26-A18B-C659F634170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E5E-4C26-A18B-C659F634170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E5E-4C26-A18B-C659F6341700}"/>
              </c:ext>
            </c:extLst>
          </c:dPt>
          <c:dLbls>
            <c:dLbl>
              <c:idx val="0"/>
              <c:layout>
                <c:manualLayout>
                  <c:x val="-4.6231799929994464E-3"/>
                  <c:y val="-3.24386070242423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E5E-4C26-A18B-C659F6341700}"/>
                </c:ext>
              </c:extLst>
            </c:dLbl>
            <c:dLbl>
              <c:idx val="1"/>
              <c:layout>
                <c:manualLayout>
                  <c:x val="-5.2505096935756036E-3"/>
                  <c:y val="0.1162919339714920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5E-4C26-A18B-C659F6341700}"/>
                </c:ext>
              </c:extLst>
            </c:dLbl>
            <c:dLbl>
              <c:idx val="2"/>
              <c:layout>
                <c:manualLayout>
                  <c:x val="-0.10377999673962342"/>
                  <c:y val="6.8054515568327723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E5E-4C26-A18B-C659F6341700}"/>
                </c:ext>
              </c:extLst>
            </c:dLbl>
            <c:dLbl>
              <c:idx val="3"/>
              <c:layout>
                <c:manualLayout>
                  <c:x val="-4.7780478806891069E-2"/>
                  <c:y val="-5.133433172107205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E5E-4C26-A18B-C659F6341700}"/>
                </c:ext>
              </c:extLst>
            </c:dLbl>
            <c:dLbl>
              <c:idx val="4"/>
              <c:layout>
                <c:manualLayout>
                  <c:x val="0.10641370476440001"/>
                  <c:y val="-1.030824097122439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E5E-4C26-A18B-C659F63417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analysis'!$A$15:$A$20</c:f>
              <c:strCache>
                <c:ptCount val="5"/>
                <c:pt idx="0">
                  <c:v>Manufacturer</c:v>
                </c:pt>
                <c:pt idx="1">
                  <c:v>Wholesaler</c:v>
                </c:pt>
                <c:pt idx="2">
                  <c:v>Retailer</c:v>
                </c:pt>
                <c:pt idx="3">
                  <c:v>Distributor</c:v>
                </c:pt>
                <c:pt idx="4">
                  <c:v>Consumer</c:v>
                </c:pt>
              </c:strCache>
            </c:strRef>
          </c:cat>
          <c:val>
            <c:numRef>
              <c:f>'Data analysis'!$B$15:$B$20</c:f>
              <c:numCache>
                <c:formatCode>#,##0</c:formatCode>
                <c:ptCount val="5"/>
                <c:pt idx="0">
                  <c:v>132553220</c:v>
                </c:pt>
                <c:pt idx="1">
                  <c:v>19032300</c:v>
                </c:pt>
                <c:pt idx="2">
                  <c:v>9236450</c:v>
                </c:pt>
                <c:pt idx="3">
                  <c:v>3855810</c:v>
                </c:pt>
                <c:pt idx="4">
                  <c:v>1319660</c:v>
                </c:pt>
              </c:numCache>
            </c:numRef>
          </c:val>
          <c:extLst>
            <c:ext xmlns:c16="http://schemas.microsoft.com/office/drawing/2014/chart" uri="{C3380CC4-5D6E-409C-BE32-E72D297353CC}">
              <c16:uniqueId val="{0000000A-9E5E-4C26-A18B-C659F634170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analysis.xlsx]Data analysis!PivotTable10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a:t>
            </a:r>
            <a:r>
              <a:rPr lang="en-US" baseline="0"/>
              <a:t>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analysis'!$B$24</c:f>
              <c:strCache>
                <c:ptCount val="1"/>
                <c:pt idx="0">
                  <c:v>Total</c:v>
                </c:pt>
              </c:strCache>
            </c:strRef>
          </c:tx>
          <c:spPr>
            <a:solidFill>
              <a:schemeClr val="accent2">
                <a:lumMod val="60000"/>
                <a:lumOff val="40000"/>
              </a:schemeClr>
            </a:solidFill>
            <a:ln>
              <a:noFill/>
            </a:ln>
            <a:effectLst/>
          </c:spPr>
          <c:invertIfNegative val="0"/>
          <c:cat>
            <c:strRef>
              <c:f>'Data analysis'!$A$25:$A$30</c:f>
              <c:strCache>
                <c:ptCount val="5"/>
                <c:pt idx="0">
                  <c:v>Customer128</c:v>
                </c:pt>
                <c:pt idx="1">
                  <c:v>Customer014</c:v>
                </c:pt>
                <c:pt idx="2">
                  <c:v>Customer050</c:v>
                </c:pt>
                <c:pt idx="3">
                  <c:v>Customer132</c:v>
                </c:pt>
                <c:pt idx="4">
                  <c:v>Customer294</c:v>
                </c:pt>
              </c:strCache>
            </c:strRef>
          </c:cat>
          <c:val>
            <c:numRef>
              <c:f>'Data analysis'!$B$25:$B$30</c:f>
              <c:numCache>
                <c:formatCode>#,##0</c:formatCode>
                <c:ptCount val="5"/>
                <c:pt idx="0">
                  <c:v>104118140</c:v>
                </c:pt>
                <c:pt idx="1">
                  <c:v>15000000</c:v>
                </c:pt>
                <c:pt idx="2">
                  <c:v>6568130</c:v>
                </c:pt>
                <c:pt idx="3">
                  <c:v>4695150</c:v>
                </c:pt>
                <c:pt idx="4">
                  <c:v>3500000</c:v>
                </c:pt>
              </c:numCache>
            </c:numRef>
          </c:val>
          <c:extLst>
            <c:ext xmlns:c16="http://schemas.microsoft.com/office/drawing/2014/chart" uri="{C3380CC4-5D6E-409C-BE32-E72D297353CC}">
              <c16:uniqueId val="{00000000-39D2-4F38-BF84-55D090155755}"/>
            </c:ext>
          </c:extLst>
        </c:ser>
        <c:dLbls>
          <c:showLegendKey val="0"/>
          <c:showVal val="0"/>
          <c:showCatName val="0"/>
          <c:showSerName val="0"/>
          <c:showPercent val="0"/>
          <c:showBubbleSize val="0"/>
        </c:dLbls>
        <c:gapWidth val="219"/>
        <c:overlap val="-27"/>
        <c:axId val="2128621040"/>
        <c:axId val="2128630160"/>
      </c:barChart>
      <c:catAx>
        <c:axId val="212862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630160"/>
        <c:crosses val="autoZero"/>
        <c:auto val="1"/>
        <c:lblAlgn val="ctr"/>
        <c:lblOffset val="100"/>
        <c:noMultiLvlLbl val="0"/>
      </c:catAx>
      <c:valAx>
        <c:axId val="21286301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62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analysis.xlsx]Data analysis!PivotTable11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6 Sales</a:t>
            </a:r>
            <a:r>
              <a:rPr lang="en-US" baseline="0"/>
              <a:t> by Manager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1.973659683264755E-2"/>
              <c:y val="-4.16263469368991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4.9683990762052203E-2"/>
              <c:y val="-7.75464848933389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1.955568375137598E-2"/>
              <c:y val="4.7331949035254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7.4144341953194137E-2"/>
              <c:y val="6.942427825787245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6.0535341821728011E-2"/>
              <c:y val="-3.13530466847092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2.8956394453306961E-2"/>
              <c:y val="-9.28468930518978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'Data analysis'!$E$24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C9-41E9-BB0F-F1324F40BC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C9-41E9-BB0F-F1324F40BC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C9-41E9-BB0F-F1324F40BCD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9C9-41E9-BB0F-F1324F40BCD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9C9-41E9-BB0F-F1324F40BCD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9C9-41E9-BB0F-F1324F40BCD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7DF-4F71-8464-809E72E9295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7DF-4F71-8464-809E72E9295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7DF-4F71-8464-809E72E92954}"/>
              </c:ext>
            </c:extLst>
          </c:dPt>
          <c:dLbls>
            <c:dLbl>
              <c:idx val="0"/>
              <c:layout>
                <c:manualLayout>
                  <c:x val="1.973659683264755E-2"/>
                  <c:y val="-4.162634693689919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9C9-41E9-BB0F-F1324F40BCD9}"/>
                </c:ext>
              </c:extLst>
            </c:dLbl>
            <c:dLbl>
              <c:idx val="1"/>
              <c:layout>
                <c:manualLayout>
                  <c:x val="-1.955568375137598E-2"/>
                  <c:y val="4.733194903525469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9C9-41E9-BB0F-F1324F40BCD9}"/>
                </c:ext>
              </c:extLst>
            </c:dLbl>
            <c:dLbl>
              <c:idx val="2"/>
              <c:layout>
                <c:manualLayout>
                  <c:x val="-7.4144341953194137E-2"/>
                  <c:y val="6.9424278257872452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9C9-41E9-BB0F-F1324F40BCD9}"/>
                </c:ext>
              </c:extLst>
            </c:dLbl>
            <c:dLbl>
              <c:idx val="3"/>
              <c:layout>
                <c:manualLayout>
                  <c:x val="-6.0535341821728011E-2"/>
                  <c:y val="-3.13530466847092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9C9-41E9-BB0F-F1324F40BCD9}"/>
                </c:ext>
              </c:extLst>
            </c:dLbl>
            <c:dLbl>
              <c:idx val="4"/>
              <c:layout>
                <c:manualLayout>
                  <c:x val="2.8956394453306961E-2"/>
                  <c:y val="-9.284689305189781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9C9-41E9-BB0F-F1324F40BCD9}"/>
                </c:ext>
              </c:extLst>
            </c:dLbl>
            <c:dLbl>
              <c:idx val="5"/>
              <c:layout>
                <c:manualLayout>
                  <c:x val="-4.9683990762052203E-2"/>
                  <c:y val="-7.754648489333895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9C9-41E9-BB0F-F1324F40BCD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analysis'!$D$25:$D$34</c:f>
              <c:strCache>
                <c:ptCount val="9"/>
                <c:pt idx="0">
                  <c:v>Paras Chabra</c:v>
                </c:pt>
                <c:pt idx="1">
                  <c:v>Sonali Mehta</c:v>
                </c:pt>
                <c:pt idx="2">
                  <c:v>Ayush Khandelwal</c:v>
                </c:pt>
                <c:pt idx="3">
                  <c:v>Dipen Panjwani</c:v>
                </c:pt>
                <c:pt idx="4">
                  <c:v>Sharada Patel</c:v>
                </c:pt>
                <c:pt idx="5">
                  <c:v>Meera Patil</c:v>
                </c:pt>
                <c:pt idx="6">
                  <c:v>Roshan Jadhav</c:v>
                </c:pt>
                <c:pt idx="7">
                  <c:v>Utkarsha Shinde</c:v>
                </c:pt>
                <c:pt idx="8">
                  <c:v>Mukesh Shah</c:v>
                </c:pt>
              </c:strCache>
            </c:strRef>
          </c:cat>
          <c:val>
            <c:numRef>
              <c:f>'Data analysis'!$E$25:$E$34</c:f>
              <c:numCache>
                <c:formatCode>#,##0</c:formatCode>
                <c:ptCount val="9"/>
                <c:pt idx="0">
                  <c:v>110518950</c:v>
                </c:pt>
                <c:pt idx="1">
                  <c:v>19356740</c:v>
                </c:pt>
                <c:pt idx="2">
                  <c:v>16012200</c:v>
                </c:pt>
                <c:pt idx="3">
                  <c:v>7654360</c:v>
                </c:pt>
                <c:pt idx="4">
                  <c:v>4199310</c:v>
                </c:pt>
                <c:pt idx="5">
                  <c:v>3597000</c:v>
                </c:pt>
                <c:pt idx="6">
                  <c:v>2463360</c:v>
                </c:pt>
                <c:pt idx="7">
                  <c:v>1869620</c:v>
                </c:pt>
                <c:pt idx="8">
                  <c:v>325900</c:v>
                </c:pt>
              </c:numCache>
            </c:numRef>
          </c:val>
          <c:extLst>
            <c:ext xmlns:c16="http://schemas.microsoft.com/office/drawing/2014/chart" uri="{C3380CC4-5D6E-409C-BE32-E72D297353CC}">
              <c16:uniqueId val="{0000000C-A9C9-41E9-BB0F-F1324F40BCD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7477772688762603"/>
          <c:y val="0.27592075839414659"/>
          <c:w val="0.21024353230945841"/>
          <c:h val="0.72407924160585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0</xdr:colOff>
      <xdr:row>11</xdr:row>
      <xdr:rowOff>22860</xdr:rowOff>
    </xdr:from>
    <xdr:to>
      <xdr:col>7</xdr:col>
      <xdr:colOff>211667</xdr:colOff>
      <xdr:row>28</xdr:row>
      <xdr:rowOff>118533</xdr:rowOff>
    </xdr:to>
    <xdr:graphicFrame macro="">
      <xdr:nvGraphicFramePr>
        <xdr:cNvPr id="2" name="Chart 1">
          <a:extLst>
            <a:ext uri="{FF2B5EF4-FFF2-40B4-BE49-F238E27FC236}">
              <a16:creationId xmlns:a16="http://schemas.microsoft.com/office/drawing/2014/main" id="{1A4FDF7E-E2B7-4EFD-8CD8-4D5046904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482598</xdr:colOff>
      <xdr:row>11</xdr:row>
      <xdr:rowOff>50800</xdr:rowOff>
    </xdr:from>
    <xdr:to>
      <xdr:col>13</xdr:col>
      <xdr:colOff>56444</xdr:colOff>
      <xdr:row>28</xdr:row>
      <xdr:rowOff>93133</xdr:rowOff>
    </xdr:to>
    <xdr:graphicFrame macro="">
      <xdr:nvGraphicFramePr>
        <xdr:cNvPr id="5" name="Chart 4">
          <a:extLst>
            <a:ext uri="{FF2B5EF4-FFF2-40B4-BE49-F238E27FC236}">
              <a16:creationId xmlns:a16="http://schemas.microsoft.com/office/drawing/2014/main" id="{6BD07CE1-D8CA-4ABE-B928-73B4CBEB8C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56444</xdr:colOff>
      <xdr:row>32</xdr:row>
      <xdr:rowOff>-1</xdr:rowOff>
    </xdr:from>
    <xdr:to>
      <xdr:col>7</xdr:col>
      <xdr:colOff>212912</xdr:colOff>
      <xdr:row>50</xdr:row>
      <xdr:rowOff>145676</xdr:rowOff>
    </xdr:to>
    <xdr:graphicFrame macro="">
      <xdr:nvGraphicFramePr>
        <xdr:cNvPr id="6" name="Chart 5">
          <a:extLst>
            <a:ext uri="{FF2B5EF4-FFF2-40B4-BE49-F238E27FC236}">
              <a16:creationId xmlns:a16="http://schemas.microsoft.com/office/drawing/2014/main" id="{DFA20E19-B94E-4072-9DE5-461EFB412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459441</xdr:colOff>
      <xdr:row>31</xdr:row>
      <xdr:rowOff>145677</xdr:rowOff>
    </xdr:from>
    <xdr:to>
      <xdr:col>13</xdr:col>
      <xdr:colOff>56029</xdr:colOff>
      <xdr:row>50</xdr:row>
      <xdr:rowOff>168088</xdr:rowOff>
    </xdr:to>
    <xdr:graphicFrame macro="">
      <xdr:nvGraphicFramePr>
        <xdr:cNvPr id="7" name="Chart 6">
          <a:extLst>
            <a:ext uri="{FF2B5EF4-FFF2-40B4-BE49-F238E27FC236}">
              <a16:creationId xmlns:a16="http://schemas.microsoft.com/office/drawing/2014/main" id="{17A8B706-7941-41EF-8651-730D406ABC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77753</xdr:colOff>
      <xdr:row>54</xdr:row>
      <xdr:rowOff>108858</xdr:rowOff>
    </xdr:from>
    <xdr:to>
      <xdr:col>7</xdr:col>
      <xdr:colOff>217713</xdr:colOff>
      <xdr:row>73</xdr:row>
      <xdr:rowOff>46653</xdr:rowOff>
    </xdr:to>
    <xdr:graphicFrame macro="">
      <xdr:nvGraphicFramePr>
        <xdr:cNvPr id="8" name="Chart 7">
          <a:extLst>
            <a:ext uri="{FF2B5EF4-FFF2-40B4-BE49-F238E27FC236}">
              <a16:creationId xmlns:a16="http://schemas.microsoft.com/office/drawing/2014/main" id="{579AB1EE-1871-4805-A823-88DE1854C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46944</xdr:colOff>
      <xdr:row>53</xdr:row>
      <xdr:rowOff>23529</xdr:rowOff>
    </xdr:from>
    <xdr:to>
      <xdr:col>13</xdr:col>
      <xdr:colOff>254757</xdr:colOff>
      <xdr:row>71</xdr:row>
      <xdr:rowOff>91768</xdr:rowOff>
    </xdr:to>
    <xdr:graphicFrame macro="">
      <xdr:nvGraphicFramePr>
        <xdr:cNvPr id="9" name="Chart 8">
          <a:extLst>
            <a:ext uri="{FF2B5EF4-FFF2-40B4-BE49-F238E27FC236}">
              <a16:creationId xmlns:a16="http://schemas.microsoft.com/office/drawing/2014/main" id="{DF194060-0329-42DF-B236-E66551AB1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258792</xdr:colOff>
      <xdr:row>19</xdr:row>
      <xdr:rowOff>14378</xdr:rowOff>
    </xdr:from>
    <xdr:to>
      <xdr:col>15</xdr:col>
      <xdr:colOff>1092679</xdr:colOff>
      <xdr:row>25</xdr:row>
      <xdr:rowOff>44944</xdr:rowOff>
    </xdr:to>
    <mc:AlternateContent xmlns:mc="http://schemas.openxmlformats.org/markup-compatibility/2006" xmlns:a14="http://schemas.microsoft.com/office/drawing/2010/main">
      <mc:Choice Requires="a14">
        <xdr:graphicFrame macro="">
          <xdr:nvGraphicFramePr>
            <xdr:cNvPr id="10" name="Financial Year">
              <a:extLst>
                <a:ext uri="{FF2B5EF4-FFF2-40B4-BE49-F238E27FC236}">
                  <a16:creationId xmlns:a16="http://schemas.microsoft.com/office/drawing/2014/main" id="{3E95B926-3DF2-43B8-A4D4-C2CADE2E419B}"/>
                </a:ext>
              </a:extLst>
            </xdr:cNvPr>
            <xdr:cNvGraphicFramePr/>
          </xdr:nvGraphicFramePr>
          <xdr:xfrm>
            <a:off x="0" y="0"/>
            <a:ext cx="0" cy="0"/>
          </xdr:xfrm>
          <a:graphic>
            <a:graphicData uri="http://schemas.microsoft.com/office/drawing/2010/slicer">
              <sle:slicer xmlns:sle="http://schemas.microsoft.com/office/drawing/2010/slicer" name="Financial Year"/>
            </a:graphicData>
          </a:graphic>
        </xdr:graphicFrame>
      </mc:Choice>
      <mc:Fallback xmlns="">
        <xdr:sp macro="" textlink="">
          <xdr:nvSpPr>
            <xdr:cNvPr id="0" name=""/>
            <xdr:cNvSpPr>
              <a:spLocks noTextEdit="1"/>
            </xdr:cNvSpPr>
          </xdr:nvSpPr>
          <xdr:spPr>
            <a:xfrm>
              <a:off x="11803811" y="3723736"/>
              <a:ext cx="3119887" cy="115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1250831</xdr:colOff>
      <xdr:row>34</xdr:row>
      <xdr:rowOff>21136</xdr:rowOff>
    </xdr:from>
    <xdr:to>
      <xdr:col>17</xdr:col>
      <xdr:colOff>2876</xdr:colOff>
      <xdr:row>61</xdr:row>
      <xdr:rowOff>107400</xdr:rowOff>
    </xdr:to>
    <mc:AlternateContent xmlns:mc="http://schemas.openxmlformats.org/markup-compatibility/2006" xmlns:a14="http://schemas.microsoft.com/office/drawing/2010/main">
      <mc:Choice Requires="a14">
        <xdr:graphicFrame macro="">
          <xdr:nvGraphicFramePr>
            <xdr:cNvPr id="12" name="SalesRegion">
              <a:extLst>
                <a:ext uri="{FF2B5EF4-FFF2-40B4-BE49-F238E27FC236}">
                  <a16:creationId xmlns:a16="http://schemas.microsoft.com/office/drawing/2014/main" id="{18A4222B-E9E3-4648-8B6C-3EF488DC9D59}"/>
                </a:ext>
              </a:extLst>
            </xdr:cNvPr>
            <xdr:cNvGraphicFramePr/>
          </xdr:nvGraphicFramePr>
          <xdr:xfrm>
            <a:off x="0" y="0"/>
            <a:ext cx="0" cy="0"/>
          </xdr:xfrm>
          <a:graphic>
            <a:graphicData uri="http://schemas.microsoft.com/office/drawing/2010/slicer">
              <sle:slicer xmlns:sle="http://schemas.microsoft.com/office/drawing/2010/slicer" name="SalesRegion"/>
            </a:graphicData>
          </a:graphic>
        </xdr:graphicFrame>
      </mc:Choice>
      <mc:Fallback xmlns="">
        <xdr:sp macro="" textlink="">
          <xdr:nvSpPr>
            <xdr:cNvPr id="0" name=""/>
            <xdr:cNvSpPr>
              <a:spLocks noTextEdit="1"/>
            </xdr:cNvSpPr>
          </xdr:nvSpPr>
          <xdr:spPr>
            <a:xfrm>
              <a:off x="15081850" y="6534079"/>
              <a:ext cx="2475781" cy="51327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388188</xdr:colOff>
      <xdr:row>34</xdr:row>
      <xdr:rowOff>28757</xdr:rowOff>
    </xdr:from>
    <xdr:to>
      <xdr:col>15</xdr:col>
      <xdr:colOff>1107056</xdr:colOff>
      <xdr:row>60</xdr:row>
      <xdr:rowOff>164910</xdr:rowOff>
    </xdr:to>
    <mc:AlternateContent xmlns:mc="http://schemas.openxmlformats.org/markup-compatibility/2006" xmlns:a14="http://schemas.microsoft.com/office/drawing/2010/main">
      <mc:Choice Requires="a14">
        <xdr:graphicFrame macro="">
          <xdr:nvGraphicFramePr>
            <xdr:cNvPr id="13" name="Customer Category">
              <a:extLst>
                <a:ext uri="{FF2B5EF4-FFF2-40B4-BE49-F238E27FC236}">
                  <a16:creationId xmlns:a16="http://schemas.microsoft.com/office/drawing/2014/main" id="{D1DF0875-7494-4E89-A38C-02479CA92F1F}"/>
                </a:ext>
              </a:extLst>
            </xdr:cNvPr>
            <xdr:cNvGraphicFramePr/>
          </xdr:nvGraphicFramePr>
          <xdr:xfrm>
            <a:off x="0" y="0"/>
            <a:ext cx="0" cy="0"/>
          </xdr:xfrm>
          <a:graphic>
            <a:graphicData uri="http://schemas.microsoft.com/office/drawing/2010/slicer">
              <sle:slicer xmlns:sle="http://schemas.microsoft.com/office/drawing/2010/slicer" name="Customer Category"/>
            </a:graphicData>
          </a:graphic>
        </xdr:graphicFrame>
      </mc:Choice>
      <mc:Fallback xmlns="">
        <xdr:sp macro="" textlink="">
          <xdr:nvSpPr>
            <xdr:cNvPr id="0" name=""/>
            <xdr:cNvSpPr>
              <a:spLocks noTextEdit="1"/>
            </xdr:cNvSpPr>
          </xdr:nvSpPr>
          <xdr:spPr>
            <a:xfrm>
              <a:off x="11933207" y="6541700"/>
              <a:ext cx="3004868" cy="4995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230039</xdr:colOff>
      <xdr:row>26</xdr:row>
      <xdr:rowOff>21137</xdr:rowOff>
    </xdr:from>
    <xdr:to>
      <xdr:col>17</xdr:col>
      <xdr:colOff>186905</xdr:colOff>
      <xdr:row>33</xdr:row>
      <xdr:rowOff>136155</xdr:rowOff>
    </xdr:to>
    <mc:AlternateContent xmlns:mc="http://schemas.openxmlformats.org/markup-compatibility/2006" xmlns:a14="http://schemas.microsoft.com/office/drawing/2010/main">
      <mc:Choice Requires="a14">
        <xdr:graphicFrame macro="">
          <xdr:nvGraphicFramePr>
            <xdr:cNvPr id="14" name="dim_division">
              <a:extLst>
                <a:ext uri="{FF2B5EF4-FFF2-40B4-BE49-F238E27FC236}">
                  <a16:creationId xmlns:a16="http://schemas.microsoft.com/office/drawing/2014/main" id="{2ECDDADE-ECF9-4A60-889F-A34B8444B246}"/>
                </a:ext>
              </a:extLst>
            </xdr:cNvPr>
            <xdr:cNvGraphicFramePr/>
          </xdr:nvGraphicFramePr>
          <xdr:xfrm>
            <a:off x="0" y="0"/>
            <a:ext cx="0" cy="0"/>
          </xdr:xfrm>
          <a:graphic>
            <a:graphicData uri="http://schemas.microsoft.com/office/drawing/2010/slicer">
              <sle:slicer xmlns:sle="http://schemas.microsoft.com/office/drawing/2010/slicer" name="dim_division"/>
            </a:graphicData>
          </a:graphic>
        </xdr:graphicFrame>
      </mc:Choice>
      <mc:Fallback xmlns="">
        <xdr:sp macro="" textlink="">
          <xdr:nvSpPr>
            <xdr:cNvPr id="0" name=""/>
            <xdr:cNvSpPr>
              <a:spLocks noTextEdit="1"/>
            </xdr:cNvSpPr>
          </xdr:nvSpPr>
          <xdr:spPr>
            <a:xfrm>
              <a:off x="11775058" y="5038835"/>
              <a:ext cx="5966602" cy="14233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359432</xdr:colOff>
      <xdr:row>62</xdr:row>
      <xdr:rowOff>14377</xdr:rowOff>
    </xdr:from>
    <xdr:to>
      <xdr:col>17</xdr:col>
      <xdr:colOff>158149</xdr:colOff>
      <xdr:row>75</xdr:row>
      <xdr:rowOff>51579</xdr:rowOff>
    </xdr:to>
    <mc:AlternateContent xmlns:mc="http://schemas.openxmlformats.org/markup-compatibility/2006" xmlns:a14="http://schemas.microsoft.com/office/drawing/2010/main">
      <mc:Choice Requires="a14">
        <xdr:graphicFrame macro="">
          <xdr:nvGraphicFramePr>
            <xdr:cNvPr id="15" name="SalesManager">
              <a:extLst>
                <a:ext uri="{FF2B5EF4-FFF2-40B4-BE49-F238E27FC236}">
                  <a16:creationId xmlns:a16="http://schemas.microsoft.com/office/drawing/2014/main" id="{2B58187E-F9D2-4F8D-9C75-03E2454BE6FB}"/>
                </a:ext>
              </a:extLst>
            </xdr:cNvPr>
            <xdr:cNvGraphicFramePr/>
          </xdr:nvGraphicFramePr>
          <xdr:xfrm>
            <a:off x="0" y="0"/>
            <a:ext cx="0" cy="0"/>
          </xdr:xfrm>
          <a:graphic>
            <a:graphicData uri="http://schemas.microsoft.com/office/drawing/2010/slicer">
              <sle:slicer xmlns:sle="http://schemas.microsoft.com/office/drawing/2010/slicer" name="SalesManager"/>
            </a:graphicData>
          </a:graphic>
        </xdr:graphicFrame>
      </mc:Choice>
      <mc:Fallback xmlns="">
        <xdr:sp macro="" textlink="">
          <xdr:nvSpPr>
            <xdr:cNvPr id="0" name=""/>
            <xdr:cNvSpPr>
              <a:spLocks noTextEdit="1"/>
            </xdr:cNvSpPr>
          </xdr:nvSpPr>
          <xdr:spPr>
            <a:xfrm>
              <a:off x="11904451" y="11760679"/>
              <a:ext cx="5808453"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1241440</xdr:colOff>
      <xdr:row>19</xdr:row>
      <xdr:rowOff>95654</xdr:rowOff>
    </xdr:from>
    <xdr:to>
      <xdr:col>17</xdr:col>
      <xdr:colOff>273170</xdr:colOff>
      <xdr:row>25</xdr:row>
      <xdr:rowOff>129398</xdr:rowOff>
    </xdr:to>
    <mc:AlternateContent xmlns:mc="http://schemas.openxmlformats.org/markup-compatibility/2006" xmlns:a14="http://schemas.microsoft.com/office/drawing/2010/main">
      <mc:Choice Requires="a14">
        <xdr:graphicFrame macro="">
          <xdr:nvGraphicFramePr>
            <xdr:cNvPr id="16" name="cm_customer_segment2">
              <a:extLst>
                <a:ext uri="{FF2B5EF4-FFF2-40B4-BE49-F238E27FC236}">
                  <a16:creationId xmlns:a16="http://schemas.microsoft.com/office/drawing/2014/main" id="{D1002B2F-A302-49C4-B1D8-472E4DED702C}"/>
                </a:ext>
              </a:extLst>
            </xdr:cNvPr>
            <xdr:cNvGraphicFramePr/>
          </xdr:nvGraphicFramePr>
          <xdr:xfrm>
            <a:off x="0" y="0"/>
            <a:ext cx="0" cy="0"/>
          </xdr:xfrm>
          <a:graphic>
            <a:graphicData uri="http://schemas.microsoft.com/office/drawing/2010/slicer">
              <sle:slicer xmlns:sle="http://schemas.microsoft.com/office/drawing/2010/slicer" name="cm_customer_segment2"/>
            </a:graphicData>
          </a:graphic>
        </xdr:graphicFrame>
      </mc:Choice>
      <mc:Fallback xmlns="">
        <xdr:sp macro="" textlink="">
          <xdr:nvSpPr>
            <xdr:cNvPr id="0" name=""/>
            <xdr:cNvSpPr>
              <a:spLocks noTextEdit="1"/>
            </xdr:cNvSpPr>
          </xdr:nvSpPr>
          <xdr:spPr>
            <a:xfrm>
              <a:off x="15072459" y="3805012"/>
              <a:ext cx="2755466" cy="11551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antikumar Marathe" refreshedDate="46099.035201388891" createdVersion="8" refreshedVersion="8" minRefreshableVersion="3" recordCount="266" xr:uid="{591D7A5B-5686-4BB4-9CE9-C581E0B0F9FE}">
  <cacheSource type="worksheet">
    <worksheetSource name="Table1"/>
  </cacheSource>
  <cacheFields count="33">
    <cacheField name="Financial Year" numFmtId="0">
      <sharedItems count="2">
        <s v="22-23"/>
        <s v="23-24"/>
      </sharedItems>
    </cacheField>
    <cacheField name="inv_invoice_no" numFmtId="0">
      <sharedItems/>
    </cacheField>
    <cacheField name="inv_invoice_date" numFmtId="14">
      <sharedItems containsSemiMixedTypes="0" containsNonDate="0" containsDate="1" containsString="0" minDate="2022-04-19T00:00:00" maxDate="2024-04-01T00:00:00"/>
    </cacheField>
    <cacheField name="so_date" numFmtId="14">
      <sharedItems containsSemiMixedTypes="0" containsNonDate="0" containsDate="1" containsString="0" minDate="2020-04-04T00:00:00" maxDate="2022-03-02T00:00:00"/>
    </cacheField>
    <cacheField name="so_no" numFmtId="0">
      <sharedItems/>
    </cacheField>
    <cacheField name="cm_customer_code" numFmtId="0">
      <sharedItems/>
    </cacheField>
    <cacheField name="cm_customer_name" numFmtId="0">
      <sharedItems count="218">
        <s v="Customer047"/>
        <s v="Customer043"/>
        <s v="Customer050"/>
        <s v="Customer055"/>
        <s v="Customer008"/>
        <s v="Customer012"/>
        <s v="Customer017"/>
        <s v="Customer019"/>
        <s v="Customer020"/>
        <s v="Customer021"/>
        <s v="Customer022"/>
        <s v="Customer023"/>
        <s v="Customer025"/>
        <s v="Customer029"/>
        <s v="Customer031"/>
        <s v="Customer032"/>
        <s v="Customer037"/>
        <s v="Customer048"/>
        <s v="Customer042"/>
        <s v="Customer041"/>
        <s v="Customer040"/>
        <s v="Customer039"/>
        <s v="Customer058"/>
        <s v="Customer063"/>
        <s v="Customer067"/>
        <s v="Customer078"/>
        <s v="Customer081"/>
        <s v="Customer084"/>
        <s v="Customer087"/>
        <s v="Customer088"/>
        <s v="Customer089"/>
        <s v="Customer097"/>
        <s v="Customer096"/>
        <s v="Customer094"/>
        <s v="Customer045"/>
        <s v="Customer049"/>
        <s v="Customer010"/>
        <s v="Customer009"/>
        <s v="Customer007"/>
        <s v="Customer014"/>
        <s v="Customer046"/>
        <s v="Customer062"/>
        <s v="Customer072"/>
        <s v="Customer073"/>
        <s v="Customer075"/>
        <s v="Customer080"/>
        <s v="Customer082"/>
        <s v="Customer086"/>
        <s v="Customer099"/>
        <s v="Customer104"/>
        <s v="Customer103"/>
        <s v="Customer121"/>
        <s v="Customer132"/>
        <s v="Customer137"/>
        <s v="Customer140"/>
        <s v="Customer500"/>
        <s v="Customer498"/>
        <s v="Customer497"/>
        <s v="Customer496"/>
        <s v="Customer495"/>
        <s v="Customer485"/>
        <s v="Customer484"/>
        <s v="Customer483"/>
        <s v="Customer482"/>
        <s v="Customer481"/>
        <s v="Customer480"/>
        <s v="Customer392"/>
        <s v="Customer391"/>
        <s v="Customer403"/>
        <s v="Customer402"/>
        <s v="Customer401"/>
        <s v="Customer400"/>
        <s v="Customer405"/>
        <s v="Customer412"/>
        <s v="Customer411"/>
        <s v="Customer410"/>
        <s v="Customer409"/>
        <s v="Customer408"/>
        <s v="Customer407"/>
        <s v="Customer416"/>
        <s v="Customer415"/>
        <s v="Customer414"/>
        <s v="Customer423"/>
        <s v="Customer420"/>
        <s v="Customer418"/>
        <s v="Customer436"/>
        <s v="Customer435"/>
        <s v="Customer444"/>
        <s v="Customer446"/>
        <s v="Customer447"/>
        <s v="Customer449"/>
        <s v="Customer016"/>
        <s v="Customer018"/>
        <s v="Customer024"/>
        <s v="Customer033"/>
        <s v="Customer034"/>
        <s v="Customer053"/>
        <s v="Customer054"/>
        <s v="Customer128"/>
        <s v="Customer135"/>
        <s v="Customer139"/>
        <s v="Customer143"/>
        <s v="Customer145"/>
        <s v="Customer154"/>
        <s v="Customer159"/>
        <s v="Customer163"/>
        <s v="Customer162"/>
        <s v="Customer161"/>
        <s v="Customer160"/>
        <s v="Customer164"/>
        <s v="Customer168"/>
        <s v="Customer167"/>
        <s v="Customer166"/>
        <s v="Customer165"/>
        <s v="Customer183"/>
        <s v="Customer184"/>
        <s v="Customer262"/>
        <s v="Customer263"/>
        <s v="Customer265"/>
        <s v="Customer264"/>
        <s v="Customer266"/>
        <s v="Customer269"/>
        <s v="Customer268"/>
        <s v="Customer270"/>
        <s v="Customer271"/>
        <s v="Customer276"/>
        <s v="Customer275"/>
        <s v="Customer272"/>
        <s v="Customer277"/>
        <s v="Customer290"/>
        <s v="Customer289"/>
        <s v="Customer293"/>
        <s v="Customer294"/>
        <s v="Customer318"/>
        <s v="Customer005"/>
        <s v="Customer489"/>
        <s v="Customer461"/>
        <s v="Customer460"/>
        <s v="Customer459"/>
        <s v="Customer458"/>
        <s v="Customer457"/>
        <s v="Customer456"/>
        <s v="Customer455"/>
        <s v="Customer454"/>
        <s v="Customer453"/>
        <s v="Customer452"/>
        <s v="Customer451"/>
        <s v="Customer450"/>
        <s v="Customer374"/>
        <s v="Customer373"/>
        <s v="Customer371"/>
        <s v="Customer370"/>
        <s v="Customer369"/>
        <s v="Customer386"/>
        <s v="Customer385"/>
        <s v="Customer384"/>
        <s v="Customer383"/>
        <s v="Customer382"/>
        <s v="Customer229"/>
        <s v="Customer230"/>
        <s v="Customer234"/>
        <s v="Customer233"/>
        <s v="Customer232"/>
        <s v="Customer235"/>
        <s v="Customer241"/>
        <s v="Customer110"/>
        <s v="Customer118"/>
        <s v="Customer117"/>
        <s v="Customer116"/>
        <s v="Customer115"/>
        <s v="Customer112"/>
        <s v="Customer119"/>
        <s v="Customer120"/>
        <s v="Customer122"/>
        <s v="Customer126"/>
        <s v="Customer125"/>
        <s v="Customer124"/>
        <s v="Customer123"/>
        <s v="Customer127"/>
        <s v="Customer131"/>
        <s v="Customer130"/>
        <s v="Customer129"/>
        <s v="Customer093"/>
        <s v="Customer092"/>
        <s v="Customer091"/>
        <s v="Customer090"/>
        <s v="Customer098"/>
        <s v="Customer102"/>
        <s v="Customer101"/>
        <s v="Customer100"/>
        <s v="Customer471"/>
        <s v="Customer470"/>
        <s v="Customer469"/>
        <s v="Customer468"/>
        <s v="Customer467"/>
        <s v="Customer479"/>
        <s v="Customer499"/>
        <s v="Customer494"/>
        <s v="Customer492"/>
        <s v="Customer491"/>
        <s v="Customer490"/>
        <s v="Customer488"/>
        <s v="Customer487"/>
        <s v="Customer486"/>
        <s v="Customer443"/>
        <s v="Customer445"/>
        <s v="Customer465"/>
        <s v="Customer464"/>
        <s v="Customer052"/>
        <s v="Customer044"/>
        <s v="Customer051"/>
        <s v="Customer308"/>
        <s v="Customer321"/>
        <s v="Customer320"/>
        <s v="Customer319"/>
        <s v="Customer060" u="1"/>
        <s v="Customer059" u="1"/>
        <s v="Customer114" u="1"/>
      </sharedItems>
    </cacheField>
    <cacheField name="cm_customer_category1" numFmtId="0">
      <sharedItems count="5">
        <s v="Manufacturer"/>
        <s v="Wholesaler"/>
        <s v="Retailer"/>
        <s v="Consumer"/>
        <s v="Distributor"/>
      </sharedItems>
    </cacheField>
    <cacheField name="cm_customer_channel1" numFmtId="0">
      <sharedItems count="5">
        <s v="Channel 1"/>
        <s v="Channel 2"/>
        <s v="Channel 3"/>
        <s v="Channel 4"/>
        <s v="Channel 5"/>
      </sharedItems>
    </cacheField>
    <cacheField name="cm_customer_segment1" numFmtId="0">
      <sharedItems/>
    </cacheField>
    <cacheField name="cm_customer_segment2" numFmtId="0">
      <sharedItems count="3">
        <s v="B2B"/>
        <s v="B2C"/>
        <s v="B2G"/>
      </sharedItems>
    </cacheField>
    <cacheField name="SalesRegion" numFmtId="0">
      <sharedItems count="5">
        <s v="North"/>
        <s v="West"/>
        <s v="South"/>
        <s v="East"/>
        <s v="Central"/>
      </sharedItems>
    </cacheField>
    <cacheField name="cm_customer_state" numFmtId="0">
      <sharedItems/>
    </cacheField>
    <cacheField name="cm_customer_city" numFmtId="0">
      <sharedItems/>
    </cacheField>
    <cacheField name="im_item_code1" numFmtId="0">
      <sharedItems/>
    </cacheField>
    <cacheField name="im_item_group1" numFmtId="0">
      <sharedItems count="5">
        <s v="ItemGroup100"/>
        <s v="ItemGroup500"/>
        <s v="ItemGroup300"/>
        <s v="ItemGroup400"/>
        <s v="ItemGroup200"/>
      </sharedItems>
    </cacheField>
    <cacheField name="im_item_name" numFmtId="0">
      <sharedItems/>
    </cacheField>
    <cacheField name="dim_division" numFmtId="0">
      <sharedItems count="5">
        <s v="Division A"/>
        <s v="Division C"/>
        <s v="Division B"/>
        <s v="Division D"/>
        <s v="Division E"/>
      </sharedItems>
    </cacheField>
    <cacheField name="dim_branch" numFmtId="0">
      <sharedItems/>
    </cacheField>
    <cacheField name="dim_dimension1" numFmtId="0">
      <sharedItems/>
    </cacheField>
    <cacheField name="dim_dimension2" numFmtId="0">
      <sharedItems/>
    </cacheField>
    <cacheField name="Quantity" numFmtId="0">
      <sharedItems containsSemiMixedTypes="0" containsString="0" containsNumber="1" containsInteger="1" minValue="10" maxValue="100000"/>
    </cacheField>
    <cacheField name="im_uom1" numFmtId="0">
      <sharedItems/>
    </cacheField>
    <cacheField name="Rate" numFmtId="0">
      <sharedItems containsSemiMixedTypes="0" containsString="0" containsNumber="1" containsInteger="1" minValue="5" maxValue="217288"/>
    </cacheField>
    <cacheField name="Sales" numFmtId="3">
      <sharedItems containsSemiMixedTypes="0" containsString="0" containsNumber="1" containsInteger="1" minValue="1000" maxValue="104110160"/>
    </cacheField>
    <cacheField name="so_document_currency" numFmtId="0">
      <sharedItems/>
    </cacheField>
    <cacheField name="so_gst_rate" numFmtId="9">
      <sharedItems containsSemiMixedTypes="0" containsString="0" containsNumber="1" minValue="0.05" maxValue="0.18"/>
    </cacheField>
    <cacheField name="so_hsn_code" numFmtId="0">
      <sharedItems containsSemiMixedTypes="0" containsString="0" containsNumber="1" containsInteger="1" minValue="33012948" maxValue="33071010"/>
    </cacheField>
    <cacheField name="GST Amount" numFmtId="0">
      <sharedItems containsSemiMixedTypes="0" containsString="0" containsNumber="1" containsInteger="1" minValue="120" maxValue="18739830"/>
    </cacheField>
    <cacheField name="sam_sales_agent1" numFmtId="0">
      <sharedItems/>
    </cacheField>
    <cacheField name="cptm_payment_terms" numFmtId="0">
      <sharedItems/>
    </cacheField>
    <cacheField name="so_shipment_type" numFmtId="0">
      <sharedItems/>
    </cacheField>
    <cacheField name="SalesManager" numFmtId="0">
      <sharedItems count="9">
        <s v="Utkarsha Shinde"/>
        <s v="Meera Patil"/>
        <s v="Ayush Khandelwal"/>
        <s v="Sharada Patel"/>
        <s v="Dipen Panjwani"/>
        <s v="Mukesh Shah"/>
        <s v="Sonali Mehta"/>
        <s v="Paras Chabra"/>
        <s v="Roshan Jadhav"/>
      </sharedItems>
    </cacheField>
  </cacheFields>
  <extLst>
    <ext xmlns:x14="http://schemas.microsoft.com/office/spreadsheetml/2009/9/main" uri="{725AE2AE-9491-48be-B2B4-4EB974FC3084}">
      <x14:pivotCacheDefinition pivotCacheId="2759200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6">
  <r>
    <x v="0"/>
    <s v="GST/2223/001"/>
    <d v="2022-05-06T00:00:00"/>
    <d v="2020-04-04T00:00:00"/>
    <s v="SOF2020001"/>
    <s v="C0047"/>
    <x v="0"/>
    <x v="0"/>
    <x v="0"/>
    <s v="Power"/>
    <x v="0"/>
    <x v="0"/>
    <s v="Maharashtra"/>
    <s v="Mumbai"/>
    <s v="Item1004ProductCC"/>
    <x v="0"/>
    <s v="ProductCC"/>
    <x v="0"/>
    <s v="Branch A"/>
    <s v="RED"/>
    <s v="LOTUS"/>
    <n v="10"/>
    <s v="NOS"/>
    <n v="5350"/>
    <n v="53500"/>
    <s v="INR"/>
    <n v="0.18"/>
    <n v="33051010"/>
    <n v="9630"/>
    <s v="Pankaj Sawant"/>
    <s v="30 DAYS"/>
    <s v="By Road"/>
    <x v="0"/>
  </r>
  <r>
    <x v="0"/>
    <s v="GST/2223/002"/>
    <d v="2022-05-07T00:00:00"/>
    <d v="2020-04-04T00:00:00"/>
    <s v="SOF2020002"/>
    <s v="C0043"/>
    <x v="1"/>
    <x v="1"/>
    <x v="1"/>
    <s v="Oil &amp; Gas"/>
    <x v="1"/>
    <x v="0"/>
    <s v="Gujrat"/>
    <s v="Ahmedabad"/>
    <s v="Item1004ProductCA"/>
    <x v="0"/>
    <s v="ProductCA"/>
    <x v="1"/>
    <s v="Branch B"/>
    <s v="YELLOW"/>
    <s v="ROSE"/>
    <n v="10"/>
    <s v="NOS"/>
    <n v="297"/>
    <n v="2970"/>
    <s v="INR"/>
    <n v="0.18"/>
    <n v="33059090"/>
    <n v="530"/>
    <s v="Sandeep Kunde"/>
    <s v="45 DAYS"/>
    <s v="By Air"/>
    <x v="1"/>
  </r>
  <r>
    <x v="0"/>
    <s v="GST/2223/003"/>
    <d v="2022-05-08T00:00:00"/>
    <d v="2020-04-04T00:00:00"/>
    <s v="SOF2020003"/>
    <s v="C0050"/>
    <x v="2"/>
    <x v="1"/>
    <x v="1"/>
    <s v="Railways"/>
    <x v="0"/>
    <x v="0"/>
    <s v="Andhra Pradesh"/>
    <s v="Kadapa"/>
    <s v="Item5005ProductZZ"/>
    <x v="1"/>
    <s v="ProductZZ"/>
    <x v="2"/>
    <s v="Branch A"/>
    <s v="RED"/>
    <s v="LOTUS"/>
    <n v="30"/>
    <s v="NOS"/>
    <n v="217288"/>
    <n v="6518640"/>
    <s v="INR"/>
    <n v="0.18"/>
    <n v="33051010"/>
    <n v="1173360"/>
    <s v="B. Karthikeyan"/>
    <s v="100% AGAINST DELIVERY"/>
    <s v="By Road"/>
    <x v="2"/>
  </r>
  <r>
    <x v="0"/>
    <s v="GST/2223/004"/>
    <d v="2022-05-09T00:00:00"/>
    <d v="2020-04-04T00:00:00"/>
    <s v="SOF2020004"/>
    <s v="C0055"/>
    <x v="3"/>
    <x v="1"/>
    <x v="1"/>
    <s v="Defence"/>
    <x v="0"/>
    <x v="0"/>
    <s v="Jharkhand"/>
    <s v="Dhanbad"/>
    <s v="Item5004ProductQQ"/>
    <x v="1"/>
    <s v="ProductQQ"/>
    <x v="3"/>
    <s v="Branch A"/>
    <s v="RED"/>
    <s v="ROSE"/>
    <n v="30"/>
    <s v="NOS"/>
    <n v="600"/>
    <n v="18000"/>
    <s v="INR"/>
    <n v="0.18"/>
    <n v="33049930"/>
    <n v="3240"/>
    <s v="Vishal Patil"/>
    <s v="45 DAYS"/>
    <s v="By Vessel"/>
    <x v="0"/>
  </r>
  <r>
    <x v="0"/>
    <s v="GST/2223/005"/>
    <d v="2022-05-06T00:00:00"/>
    <d v="2020-04-04T00:00:00"/>
    <s v="SOF2020005"/>
    <s v="C0008"/>
    <x v="4"/>
    <x v="0"/>
    <x v="0"/>
    <s v="Shipping"/>
    <x v="1"/>
    <x v="1"/>
    <s v="Rajasthan"/>
    <s v="Jaipur"/>
    <s v="Item5001ProductUT"/>
    <x v="1"/>
    <s v="ProductUT"/>
    <x v="4"/>
    <s v="Branch C"/>
    <s v="PINK"/>
    <s v="LOTUS"/>
    <n v="60"/>
    <s v="NOS"/>
    <n v="100"/>
    <n v="6000"/>
    <s v="INR"/>
    <n v="0.05"/>
    <n v="33030050"/>
    <n v="300"/>
    <s v="Nikesh Dave"/>
    <s v="100% AGAINST PI"/>
    <s v="By Air"/>
    <x v="3"/>
  </r>
  <r>
    <x v="0"/>
    <s v="GST/2223/006"/>
    <d v="2022-05-11T00:00:00"/>
    <d v="2020-04-04T00:00:00"/>
    <s v="SOS2020002"/>
    <s v="C0012"/>
    <x v="5"/>
    <x v="2"/>
    <x v="1"/>
    <s v="Commercial Establishment"/>
    <x v="1"/>
    <x v="1"/>
    <s v="Uttar Pradesh"/>
    <s v="Noida"/>
    <s v="Item5004ProductLL"/>
    <x v="1"/>
    <s v="ProductLL"/>
    <x v="1"/>
    <s v="Branch C"/>
    <s v="YELLOW"/>
    <s v="SUNFLOWER"/>
    <n v="40"/>
    <s v="NOS"/>
    <n v="26"/>
    <n v="1040"/>
    <s v="INR"/>
    <n v="0.12"/>
    <n v="33049930"/>
    <n v="120"/>
    <s v="Pankaj Sawant"/>
    <s v="90 DAYS"/>
    <s v="By Road"/>
    <x v="0"/>
  </r>
  <r>
    <x v="0"/>
    <s v="GST/2223/008"/>
    <d v="2022-05-29T00:00:00"/>
    <d v="2020-04-06T00:00:00"/>
    <s v="SOS2020004"/>
    <s v="C0017"/>
    <x v="6"/>
    <x v="3"/>
    <x v="0"/>
    <s v="IT"/>
    <x v="1"/>
    <x v="2"/>
    <s v="Karnataka"/>
    <s v="Banglore"/>
    <s v="Item5005ProductZZ"/>
    <x v="1"/>
    <s v="ProductZZ"/>
    <x v="0"/>
    <s v="Branch E"/>
    <s v="YELLOW"/>
    <s v="LOTUS"/>
    <n v="10"/>
    <s v="SET"/>
    <n v="100"/>
    <n v="1000"/>
    <s v="INR"/>
    <n v="0.12"/>
    <n v="33049930"/>
    <n v="120"/>
    <s v="Sadashiv Shirsat"/>
    <s v="45 DAYS"/>
    <s v="By Vessel"/>
    <x v="4"/>
  </r>
  <r>
    <x v="0"/>
    <s v="GST/2223/009"/>
    <d v="2022-07-23T00:00:00"/>
    <d v="2020-04-06T00:00:00"/>
    <s v="SOA2020001"/>
    <s v="C0019"/>
    <x v="7"/>
    <x v="2"/>
    <x v="2"/>
    <s v="Commercial Establishment"/>
    <x v="1"/>
    <x v="0"/>
    <s v="Kerala"/>
    <s v="Kozikode"/>
    <s v="Item5005ProductSS"/>
    <x v="1"/>
    <s v="ProductSS"/>
    <x v="4"/>
    <s v="Branch B"/>
    <s v="YELLOW"/>
    <s v="LILY"/>
    <n v="60"/>
    <s v="NOS"/>
    <n v="472"/>
    <n v="28300"/>
    <s v="INR"/>
    <n v="0.12"/>
    <n v="33041000"/>
    <n v="3400"/>
    <s v="Vishal Patil"/>
    <s v="100% AGAINST PI"/>
    <s v="By Vessel"/>
    <x v="5"/>
  </r>
  <r>
    <x v="0"/>
    <s v="GST/2223/010"/>
    <d v="2022-05-07T00:00:00"/>
    <d v="2020-04-06T00:00:00"/>
    <s v="SOA2020002"/>
    <s v="C0020"/>
    <x v="8"/>
    <x v="4"/>
    <x v="3"/>
    <s v="Railways"/>
    <x v="0"/>
    <x v="1"/>
    <s v="Punjab"/>
    <s v="Jalandhar"/>
    <s v="Item5005ProductVV"/>
    <x v="1"/>
    <s v="ProductVV"/>
    <x v="0"/>
    <s v="Branch C"/>
    <s v="BLUE"/>
    <s v="LOTUS"/>
    <n v="60"/>
    <s v="NOS"/>
    <n v="25"/>
    <n v="1500"/>
    <s v="INR"/>
    <n v="0.12"/>
    <n v="33071010"/>
    <n v="180"/>
    <s v="Pramod Patange"/>
    <s v="60 DAYS"/>
    <s v="By Road"/>
    <x v="0"/>
  </r>
  <r>
    <x v="0"/>
    <s v="GST/2223/011"/>
    <d v="2022-05-29T00:00:00"/>
    <d v="2020-04-06T00:00:00"/>
    <s v="SOA2020003"/>
    <s v="C0021"/>
    <x v="9"/>
    <x v="0"/>
    <x v="4"/>
    <s v="Steel Plant"/>
    <x v="1"/>
    <x v="3"/>
    <s v="Rajasthan"/>
    <s v="Jaipur"/>
    <s v="Item1001ProductAA"/>
    <x v="0"/>
    <s v="ProductAA"/>
    <x v="0"/>
    <s v="Branch D"/>
    <s v="PINK"/>
    <s v="ROSE"/>
    <n v="60"/>
    <s v="SET"/>
    <n v="22"/>
    <n v="1300"/>
    <s v="INR"/>
    <n v="0.12"/>
    <n v="33030050"/>
    <n v="160"/>
    <s v="Gaurav Hinge"/>
    <s v="90 DAYS"/>
    <s v="By Air"/>
    <x v="1"/>
  </r>
  <r>
    <x v="0"/>
    <s v="GST/2223/012"/>
    <d v="2022-05-29T00:00:00"/>
    <d v="2020-04-06T00:00:00"/>
    <s v="SOA2020004"/>
    <s v="C0022"/>
    <x v="10"/>
    <x v="0"/>
    <x v="4"/>
    <s v="Power"/>
    <x v="2"/>
    <x v="0"/>
    <s v="Tamilnadu"/>
    <s v="Madurai"/>
    <s v="Item1001ProductAB"/>
    <x v="0"/>
    <s v="ProductAB"/>
    <x v="1"/>
    <s v="Branch A"/>
    <s v="GREEN"/>
    <s v="SUNFLOWER"/>
    <n v="60"/>
    <s v="ROLL"/>
    <n v="24"/>
    <n v="1440"/>
    <s v="INR"/>
    <n v="0.12"/>
    <n v="33051010"/>
    <n v="170"/>
    <s v="Sadashiv Shirsat"/>
    <s v="100% AGAINST PI"/>
    <s v="By Vessel"/>
    <x v="6"/>
  </r>
  <r>
    <x v="0"/>
    <s v="GST/2223/013"/>
    <d v="2022-05-07T00:00:00"/>
    <d v="2020-04-06T00:00:00"/>
    <s v="SOA2020005"/>
    <s v="C0023"/>
    <x v="11"/>
    <x v="1"/>
    <x v="4"/>
    <s v="Oil &amp; Gas"/>
    <x v="0"/>
    <x v="0"/>
    <s v="Telangana"/>
    <s v="Hyderabad"/>
    <s v="Item1001ProductAC"/>
    <x v="0"/>
    <s v="ProductAC"/>
    <x v="1"/>
    <s v="Branch B"/>
    <s v="WHITE"/>
    <s v="LILY"/>
    <n v="40"/>
    <s v="NOS"/>
    <n v="69"/>
    <n v="2760"/>
    <s v="INR"/>
    <n v="0.12"/>
    <n v="33059090"/>
    <n v="330"/>
    <s v="B. Karthikeyan"/>
    <s v="30% ADV &amp; 70% AGAINST PI"/>
    <s v="By Road"/>
    <x v="3"/>
  </r>
  <r>
    <x v="0"/>
    <s v="GST/2223/014"/>
    <d v="2022-05-07T00:00:00"/>
    <d v="2020-04-06T00:00:00"/>
    <s v="SOA2020006"/>
    <s v="C0025"/>
    <x v="12"/>
    <x v="1"/>
    <x v="2"/>
    <s v="IT"/>
    <x v="2"/>
    <x v="0"/>
    <s v="Andhra Pradesh"/>
    <s v="Vijaywada"/>
    <s v="Item1001ProductAD"/>
    <x v="0"/>
    <s v="ProductAD"/>
    <x v="1"/>
    <s v="Branch A"/>
    <s v="RED"/>
    <s v="LOTUS"/>
    <n v="1800"/>
    <s v="NOS"/>
    <n v="83"/>
    <n v="149760"/>
    <s v="INR"/>
    <n v="0.12"/>
    <n v="33049930"/>
    <n v="17970"/>
    <s v="Ravindra Shah"/>
    <s v="100% AGAINST DELIVERY"/>
    <s v="By Air"/>
    <x v="7"/>
  </r>
  <r>
    <x v="0"/>
    <s v="GST/2223/015"/>
    <d v="2022-05-11T00:00:00"/>
    <d v="2020-04-10T00:00:00"/>
    <s v="SOA2020007"/>
    <s v="C0029"/>
    <x v="13"/>
    <x v="1"/>
    <x v="1"/>
    <s v="Steel Plant"/>
    <x v="0"/>
    <x v="0"/>
    <s v="Uttar Pradesh"/>
    <s v="Varanasi"/>
    <s v="Item1003ProductBB"/>
    <x v="0"/>
    <s v="ProductBB"/>
    <x v="3"/>
    <s v="Branch A"/>
    <s v="YELLOW"/>
    <s v="LOTUS"/>
    <n v="10"/>
    <s v="NOS"/>
    <n v="1250"/>
    <n v="12500"/>
    <s v="INR"/>
    <n v="0.12"/>
    <n v="33012948"/>
    <n v="1500"/>
    <s v="B. Karthikeyan"/>
    <s v="100% AGAINST PI"/>
    <s v="By Road"/>
    <x v="1"/>
  </r>
  <r>
    <x v="0"/>
    <s v="GST/2223/017"/>
    <d v="2022-05-12T00:00:00"/>
    <d v="2020-04-11T00:00:00"/>
    <s v="SOA2020009"/>
    <s v="C0031"/>
    <x v="14"/>
    <x v="4"/>
    <x v="2"/>
    <s v="Coal &amp; Mines"/>
    <x v="2"/>
    <x v="1"/>
    <s v="Delhi"/>
    <s v="New Delhi"/>
    <s v="Item1003ProductBD"/>
    <x v="0"/>
    <s v="ProductBD"/>
    <x v="0"/>
    <s v="Branch C"/>
    <s v="PINK"/>
    <s v="LOTUS"/>
    <n v="50"/>
    <s v="NOS"/>
    <n v="21"/>
    <n v="1050"/>
    <s v="INR"/>
    <n v="0.12"/>
    <n v="33012948"/>
    <n v="130"/>
    <s v="Vishal Patil"/>
    <s v="100% AGAINST DELIVERY"/>
    <s v="By Vessel"/>
    <x v="3"/>
  </r>
  <r>
    <x v="0"/>
    <s v="GST/2223/018"/>
    <d v="2022-05-12T00:00:00"/>
    <d v="2020-04-11T00:00:00"/>
    <s v="SOA2020010"/>
    <s v="C0032"/>
    <x v="15"/>
    <x v="3"/>
    <x v="4"/>
    <s v="Fire Protection "/>
    <x v="0"/>
    <x v="3"/>
    <s v="Haryana"/>
    <s v="Panipat"/>
    <s v="Item3001ProductRT"/>
    <x v="2"/>
    <s v="ProductRT"/>
    <x v="4"/>
    <s v="Branch D"/>
    <s v="GREEN"/>
    <s v="LOTUS"/>
    <n v="50"/>
    <s v="NOS"/>
    <n v="150"/>
    <n v="7490"/>
    <s v="INR"/>
    <n v="0.12"/>
    <n v="33051010"/>
    <n v="900"/>
    <s v="Pramod Patange"/>
    <s v="30 DAYS"/>
    <s v="By Vessel"/>
    <x v="0"/>
  </r>
  <r>
    <x v="0"/>
    <s v="GST/2223/019"/>
    <d v="2022-04-27T00:00:00"/>
    <d v="2020-04-11T00:00:00"/>
    <s v="SOA2020011"/>
    <s v="C0037"/>
    <x v="16"/>
    <x v="0"/>
    <x v="2"/>
    <s v="Power"/>
    <x v="0"/>
    <x v="4"/>
    <s v="Jharkhand"/>
    <s v="Jamshedpur"/>
    <s v="Item3001ProductYH"/>
    <x v="2"/>
    <s v="ProductYH"/>
    <x v="4"/>
    <s v="Branch B"/>
    <s v="WHITE"/>
    <s v="ROSE"/>
    <n v="50"/>
    <s v="NOS"/>
    <n v="139"/>
    <n v="6950"/>
    <s v="INR"/>
    <n v="0.12"/>
    <n v="33059090"/>
    <n v="830"/>
    <s v="Gaurav Hinge"/>
    <s v="45 DAYS"/>
    <s v="By Vessel"/>
    <x v="1"/>
  </r>
  <r>
    <x v="0"/>
    <s v="GST/2223/021"/>
    <d v="2022-04-24T00:00:00"/>
    <d v="2020-04-11T00:00:00"/>
    <s v="SOA2020013"/>
    <s v="C0048"/>
    <x v="17"/>
    <x v="0"/>
    <x v="2"/>
    <s v="Railways"/>
    <x v="1"/>
    <x v="1"/>
    <s v="Madhya Pradesh"/>
    <s v="Bhopal"/>
    <s v="Item3001ProductJK"/>
    <x v="2"/>
    <s v="ProductJK"/>
    <x v="3"/>
    <s v="Branch C"/>
    <s v="BLUE"/>
    <s v="LOTUS"/>
    <n v="10"/>
    <s v="NOS"/>
    <n v="151"/>
    <n v="1510"/>
    <s v="INR"/>
    <n v="0.12"/>
    <n v="33041000"/>
    <n v="180"/>
    <s v="Ravindra Shah"/>
    <s v="100% AGAINST DELIVERY"/>
    <s v="By Road"/>
    <x v="1"/>
  </r>
  <r>
    <x v="0"/>
    <s v="GST/2223/022"/>
    <d v="2022-04-28T00:00:00"/>
    <d v="2020-04-15T00:00:00"/>
    <s v="SOA2020014"/>
    <s v="C0042"/>
    <x v="18"/>
    <x v="1"/>
    <x v="1"/>
    <s v="Steel Plant"/>
    <x v="0"/>
    <x v="3"/>
    <s v="Delhi"/>
    <s v="New Delhi"/>
    <s v="Item4003ProductRG"/>
    <x v="3"/>
    <s v="ProductRG"/>
    <x v="3"/>
    <s v="Branch D"/>
    <s v="PINK"/>
    <s v="LOTUS"/>
    <n v="10"/>
    <s v="NOS"/>
    <n v="150"/>
    <n v="1500"/>
    <s v="INR"/>
    <n v="0.12"/>
    <n v="33071010"/>
    <n v="180"/>
    <s v="Vishal Patil"/>
    <s v="30 DAYS"/>
    <s v="By Air"/>
    <x v="6"/>
  </r>
  <r>
    <x v="0"/>
    <s v="GST/2223/023"/>
    <d v="2022-04-28T00:00:00"/>
    <d v="2020-04-15T00:00:00"/>
    <s v="SOA2020015"/>
    <s v="C0041"/>
    <x v="19"/>
    <x v="0"/>
    <x v="2"/>
    <s v="Defence"/>
    <x v="1"/>
    <x v="2"/>
    <s v="Haryana"/>
    <s v="Ambala"/>
    <s v="Item4003ProductHR"/>
    <x v="3"/>
    <s v="ProductHR"/>
    <x v="0"/>
    <s v="Branch E"/>
    <s v="GREEN"/>
    <s v="ROSE"/>
    <n v="10"/>
    <s v="NOS"/>
    <n v="182"/>
    <n v="1820"/>
    <s v="INR"/>
    <n v="0.12"/>
    <n v="33030050"/>
    <n v="220"/>
    <s v="Pankaj Sawant"/>
    <s v="45 DAYS"/>
    <s v="By Road"/>
    <x v="3"/>
  </r>
  <r>
    <x v="0"/>
    <s v="GST/2223/024"/>
    <d v="2022-04-29T00:00:00"/>
    <d v="2020-04-16T00:00:00"/>
    <s v="SOA2020016"/>
    <s v="C0040"/>
    <x v="20"/>
    <x v="1"/>
    <x v="0"/>
    <s v="Coal &amp; Mines"/>
    <x v="2"/>
    <x v="0"/>
    <s v="Andhra Pradesh"/>
    <s v="Vijaywada"/>
    <s v="Item4003ProductHZ"/>
    <x v="3"/>
    <s v="ProductHZ"/>
    <x v="0"/>
    <s v="Branch A"/>
    <s v="WHITE"/>
    <s v="LOTUS"/>
    <n v="10"/>
    <s v="NOS"/>
    <n v="343"/>
    <n v="3430"/>
    <s v="INR"/>
    <n v="0.12"/>
    <n v="33013091"/>
    <n v="410"/>
    <s v="Sandeep Kunde"/>
    <s v="60 DAYS"/>
    <s v="By Air"/>
    <x v="7"/>
  </r>
  <r>
    <x v="0"/>
    <s v="GST/2223/025"/>
    <d v="2022-04-19T00:00:00"/>
    <d v="2020-04-17T00:00:00"/>
    <s v="SOA2020017"/>
    <s v="C0039"/>
    <x v="21"/>
    <x v="2"/>
    <x v="0"/>
    <s v="Fire Protection "/>
    <x v="0"/>
    <x v="0"/>
    <s v="Maharashtra"/>
    <s v="Solapur"/>
    <s v="Item4003ProductTY"/>
    <x v="3"/>
    <s v="ProductTY"/>
    <x v="4"/>
    <s v="Branch A"/>
    <s v="RED"/>
    <s v="ROSE"/>
    <n v="30"/>
    <s v="KG"/>
    <n v="2775"/>
    <n v="83250"/>
    <s v="INR"/>
    <n v="0.12"/>
    <n v="33012948"/>
    <n v="9990"/>
    <s v="Nikesh Dave"/>
    <s v="90 DAYS"/>
    <s v="By Vessel"/>
    <x v="4"/>
  </r>
  <r>
    <x v="0"/>
    <s v="GST/2223/028"/>
    <d v="2022-04-30T00:00:00"/>
    <d v="2020-04-23T00:00:00"/>
    <s v="SOF2020006"/>
    <s v="C0058"/>
    <x v="22"/>
    <x v="0"/>
    <x v="4"/>
    <s v="Power"/>
    <x v="2"/>
    <x v="4"/>
    <s v="Delhi"/>
    <s v="New Delhi"/>
    <s v="Item3004ProductPG"/>
    <x v="2"/>
    <s v="ProductPG"/>
    <x v="1"/>
    <s v="Branch B"/>
    <s v="GREEN"/>
    <s v="LILY"/>
    <n v="70"/>
    <s v="NOS"/>
    <n v="10547"/>
    <n v="738280"/>
    <s v="INR"/>
    <n v="0.12"/>
    <n v="33051010"/>
    <n v="88590"/>
    <s v="B. Karthikeyan"/>
    <s v="90 DAYS"/>
    <s v="By Road"/>
    <x v="6"/>
  </r>
  <r>
    <x v="0"/>
    <s v="GST/2223/029"/>
    <d v="2022-04-29T00:00:00"/>
    <d v="2020-04-27T00:00:00"/>
    <s v="SOF2020007"/>
    <s v="C0063"/>
    <x v="23"/>
    <x v="0"/>
    <x v="0"/>
    <s v="Commercial Establishment"/>
    <x v="1"/>
    <x v="0"/>
    <s v="Kerala"/>
    <s v="Kochi"/>
    <s v="Item3004ProductKD"/>
    <x v="2"/>
    <s v="ProductKD"/>
    <x v="2"/>
    <s v="Branch A"/>
    <s v="RED"/>
    <s v="LOTUS"/>
    <n v="70"/>
    <s v="NOS"/>
    <n v="816"/>
    <n v="57120"/>
    <s v="INR"/>
    <n v="0.12"/>
    <n v="33059090"/>
    <n v="6850"/>
    <s v="Sandeep Kunde"/>
    <s v="100% AGAINST PI"/>
    <s v="By Air"/>
    <x v="2"/>
  </r>
  <r>
    <x v="0"/>
    <s v="GST/2223/030"/>
    <d v="2022-05-02T00:00:00"/>
    <d v="2020-04-30T00:00:00"/>
    <s v="SOF2020008"/>
    <s v="C0067"/>
    <x v="24"/>
    <x v="3"/>
    <x v="2"/>
    <s v="Coal &amp; Mines"/>
    <x v="0"/>
    <x v="4"/>
    <s v="Telangana"/>
    <s v="Hyderabad"/>
    <s v="Item3005ProductVH\"/>
    <x v="2"/>
    <s v="ProductVH\"/>
    <x v="0"/>
    <s v="Branch B"/>
    <s v="BLUE"/>
    <s v="SUNFLOWER"/>
    <n v="20"/>
    <s v="NOS"/>
    <n v="150"/>
    <n v="3000"/>
    <s v="INR"/>
    <n v="0.12"/>
    <n v="33030050"/>
    <n v="360"/>
    <s v="Rajesh Uttarde"/>
    <s v="30% ADV &amp; 70% AGAINST PI"/>
    <s v="By Air"/>
    <x v="0"/>
  </r>
  <r>
    <x v="0"/>
    <s v="GST/2223/031"/>
    <d v="2022-05-11T00:00:00"/>
    <d v="2020-05-01T00:00:00"/>
    <s v="SOF2020009"/>
    <s v="C0078"/>
    <x v="25"/>
    <x v="0"/>
    <x v="4"/>
    <s v="Fire Protection "/>
    <x v="0"/>
    <x v="0"/>
    <s v="Kerala"/>
    <s v="Kochi"/>
    <s v="Item2005ProductFC"/>
    <x v="4"/>
    <s v="ProductFC"/>
    <x v="2"/>
    <s v="Branch A"/>
    <s v="GREEN"/>
    <s v="ROSE"/>
    <n v="100"/>
    <s v="NOS"/>
    <n v="149"/>
    <n v="14870"/>
    <s v="INR"/>
    <n v="0.12"/>
    <n v="33051010"/>
    <n v="1780"/>
    <s v="Sadashiv Shirsat"/>
    <s v="90 DAYS"/>
    <s v="By Air"/>
    <x v="1"/>
  </r>
  <r>
    <x v="0"/>
    <s v="GST/2223/032"/>
    <d v="2022-05-11T00:00:00"/>
    <d v="2020-05-01T00:00:00"/>
    <s v="SOF2020010"/>
    <s v="C0081"/>
    <x v="26"/>
    <x v="1"/>
    <x v="2"/>
    <s v="Chemical &amp; Fertilizers"/>
    <x v="0"/>
    <x v="0"/>
    <s v="Tamilnadu"/>
    <s v="Chennai"/>
    <s v="Item3001ProductGJ"/>
    <x v="2"/>
    <s v="ProductGJ"/>
    <x v="0"/>
    <s v="Branch A"/>
    <s v="BLUE"/>
    <s v="ROSE"/>
    <n v="200"/>
    <s v="NOS"/>
    <n v="61"/>
    <n v="12220"/>
    <s v="INR"/>
    <n v="0.12"/>
    <n v="33041000"/>
    <n v="1470"/>
    <s v="Vishal Patil"/>
    <s v="90 DAYS"/>
    <s v="By Road"/>
    <x v="7"/>
  </r>
  <r>
    <x v="0"/>
    <s v="GST/2223/033"/>
    <d v="2022-05-13T00:00:00"/>
    <d v="2020-05-03T00:00:00"/>
    <s v="SOS2020005"/>
    <s v="C0084"/>
    <x v="27"/>
    <x v="3"/>
    <x v="4"/>
    <s v="MEP / PMC"/>
    <x v="0"/>
    <x v="3"/>
    <s v="Gujrat"/>
    <s v="Ahmedabad"/>
    <s v="Item2004ProductFG"/>
    <x v="4"/>
    <s v="ProductFG"/>
    <x v="1"/>
    <s v="Branch D"/>
    <s v="BLUE"/>
    <s v="LOTUS"/>
    <n v="100"/>
    <s v="NOS"/>
    <n v="197"/>
    <n v="19680"/>
    <s v="INR"/>
    <n v="0.12"/>
    <n v="33013091"/>
    <n v="2360"/>
    <s v="Sadashiv Shirsat"/>
    <s v="30 DAYS"/>
    <s v="By Road"/>
    <x v="8"/>
  </r>
  <r>
    <x v="0"/>
    <s v="GST/2223/034"/>
    <d v="2022-05-19T00:00:00"/>
    <d v="2020-05-03T00:00:00"/>
    <s v="SOS2020006"/>
    <s v="C0087"/>
    <x v="28"/>
    <x v="2"/>
    <x v="2"/>
    <s v="Commercial Establishment"/>
    <x v="0"/>
    <x v="1"/>
    <s v="Delhi"/>
    <s v="New Delhi"/>
    <s v="Item2002ProductLN"/>
    <x v="4"/>
    <s v="ProductLN"/>
    <x v="1"/>
    <s v="Branch C"/>
    <s v="WHITE"/>
    <s v="LILY"/>
    <n v="140"/>
    <s v="NOS"/>
    <n v="44"/>
    <n v="6220"/>
    <s v="INR"/>
    <n v="0.12"/>
    <n v="33012948"/>
    <n v="750"/>
    <s v="Vishal Patil"/>
    <s v="90 DAYS"/>
    <s v="By Road"/>
    <x v="6"/>
  </r>
  <r>
    <x v="0"/>
    <s v="GST/2223/035"/>
    <d v="2022-05-20T00:00:00"/>
    <d v="2020-05-03T00:00:00"/>
    <s v="SOS2020007"/>
    <s v="C0088"/>
    <x v="29"/>
    <x v="4"/>
    <x v="1"/>
    <s v="Railways"/>
    <x v="0"/>
    <x v="3"/>
    <s v="Haryana"/>
    <s v="Gurgaon"/>
    <s v="Item2003ProductPA"/>
    <x v="4"/>
    <s v="ProductPA"/>
    <x v="1"/>
    <s v="Branch D"/>
    <s v="RED"/>
    <s v="LOTUS"/>
    <n v="140"/>
    <s v="NOS"/>
    <n v="171"/>
    <n v="23940"/>
    <s v="INR"/>
    <n v="0.12"/>
    <n v="33051010"/>
    <n v="2870"/>
    <s v="Pramod Patange"/>
    <s v="100% AGAINST PI"/>
    <s v="By Air"/>
    <x v="3"/>
  </r>
  <r>
    <x v="0"/>
    <s v="GST/2223/036"/>
    <d v="2022-05-23T00:00:00"/>
    <d v="2020-05-05T00:00:00"/>
    <s v="SOS2020008"/>
    <s v="C0089"/>
    <x v="30"/>
    <x v="3"/>
    <x v="2"/>
    <s v="Steel Plant"/>
    <x v="0"/>
    <x v="2"/>
    <s v="Andhra Pradesh"/>
    <s v="Kadapa"/>
    <s v="Item2003ProductPD"/>
    <x v="4"/>
    <s v="ProductPD"/>
    <x v="2"/>
    <s v="Branch E"/>
    <s v="YELLOW"/>
    <s v="ROSE"/>
    <n v="100"/>
    <s v="NOS"/>
    <n v="41"/>
    <n v="4060"/>
    <s v="INR"/>
    <n v="0.12"/>
    <n v="33059090"/>
    <n v="490"/>
    <s v="Gaurav Hinge"/>
    <s v="30% ADV &amp; 70% AGAINST PI"/>
    <s v="By Vessel"/>
    <x v="7"/>
  </r>
  <r>
    <x v="0"/>
    <s v="GST/2223/037"/>
    <d v="2022-06-04T00:00:00"/>
    <d v="2020-05-05T00:00:00"/>
    <s v="SOS2020009"/>
    <s v="C0097"/>
    <x v="31"/>
    <x v="0"/>
    <x v="0"/>
    <s v="Defence"/>
    <x v="1"/>
    <x v="0"/>
    <s v="Karnataka"/>
    <s v="Banglore"/>
    <s v="Item2003ProductPZ"/>
    <x v="4"/>
    <s v="ProductPZ"/>
    <x v="3"/>
    <s v="Branch A"/>
    <s v="BLUE"/>
    <s v="SUNFLOWER"/>
    <n v="40"/>
    <s v="NOS"/>
    <n v="231"/>
    <n v="9240"/>
    <s v="INR"/>
    <n v="0.12"/>
    <n v="33049930"/>
    <n v="1110"/>
    <s v="Sadashiv Shirsat"/>
    <s v="100% AGAINST DELIVERY"/>
    <s v="By Road"/>
    <x v="4"/>
  </r>
  <r>
    <x v="0"/>
    <s v="GST/2223/038"/>
    <d v="2022-05-28T00:00:00"/>
    <d v="2020-05-05T00:00:00"/>
    <s v="SOS2020010"/>
    <s v="C0096"/>
    <x v="32"/>
    <x v="1"/>
    <x v="1"/>
    <s v="Coal &amp; Mines"/>
    <x v="0"/>
    <x v="4"/>
    <s v="Jharkhand"/>
    <s v="Dhanbad"/>
    <s v="Item2003ProductZA"/>
    <x v="4"/>
    <s v="ProductZA"/>
    <x v="3"/>
    <s v="Branch B"/>
    <s v="PINK"/>
    <s v="LOTUS"/>
    <n v="40"/>
    <s v="NOS"/>
    <n v="172"/>
    <n v="6890"/>
    <s v="INR"/>
    <n v="0.12"/>
    <n v="33041000"/>
    <n v="830"/>
    <s v="B. Karthikeyan"/>
    <s v="30 DAYS"/>
    <s v="By Air"/>
    <x v="2"/>
  </r>
  <r>
    <x v="0"/>
    <s v="GST/2223/039"/>
    <d v="2022-05-29T00:00:00"/>
    <d v="2020-05-05T00:00:00"/>
    <s v="SOS2020011"/>
    <s v="C0094"/>
    <x v="33"/>
    <x v="1"/>
    <x v="2"/>
    <s v="Shipping"/>
    <x v="2"/>
    <x v="3"/>
    <s v="Gujrat"/>
    <s v="Ahmedabad"/>
    <s v="Item2001ProductEE"/>
    <x v="4"/>
    <s v="ProductEE"/>
    <x v="0"/>
    <s v="Branch D"/>
    <s v="RED"/>
    <s v="ROSE"/>
    <n v="40"/>
    <s v="NOS"/>
    <n v="277"/>
    <n v="11060"/>
    <s v="INR"/>
    <n v="0.12"/>
    <n v="33071010"/>
    <n v="1330"/>
    <s v="Ravindra Shah"/>
    <s v="45 DAYS"/>
    <s v="By Vessel"/>
    <x v="8"/>
  </r>
  <r>
    <x v="0"/>
    <s v="GST/2223/040"/>
    <d v="2022-06-04T00:00:00"/>
    <d v="2020-05-10T00:00:00"/>
    <s v="SOS2020013"/>
    <s v="C0045"/>
    <x v="34"/>
    <x v="4"/>
    <x v="3"/>
    <s v="IT"/>
    <x v="0"/>
    <x v="3"/>
    <s v="Madhya Pradesh"/>
    <s v="Indore"/>
    <s v="Item2001ProductEA"/>
    <x v="4"/>
    <s v="ProductEA"/>
    <x v="0"/>
    <s v="Branch D"/>
    <s v="WHITE"/>
    <s v="ROSE"/>
    <n v="80"/>
    <s v="NOS"/>
    <n v="220"/>
    <n v="17580"/>
    <s v="INR"/>
    <n v="0.12"/>
    <n v="33041000"/>
    <n v="2110"/>
    <s v="Nikesh Dave"/>
    <s v="90 DAYS"/>
    <s v="By Air"/>
    <x v="0"/>
  </r>
  <r>
    <x v="0"/>
    <s v="GST/2223/041"/>
    <d v="2022-06-06T00:00:00"/>
    <d v="2020-05-10T00:00:00"/>
    <s v="SOS2020014"/>
    <s v="C0049"/>
    <x v="35"/>
    <x v="0"/>
    <x v="0"/>
    <s v="Steel Plant"/>
    <x v="0"/>
    <x v="0"/>
    <s v="Karnataka"/>
    <s v="Manglore"/>
    <s v="Item2001ProductEF"/>
    <x v="4"/>
    <s v="ProductEF"/>
    <x v="1"/>
    <s v="Branch A"/>
    <s v="PINK"/>
    <s v="LOTUS"/>
    <n v="50"/>
    <s v="NOS"/>
    <n v="1000"/>
    <n v="50000"/>
    <s v="INR"/>
    <n v="0.12"/>
    <n v="33012948"/>
    <n v="6000"/>
    <s v="B. Karthikeyan"/>
    <s v="30 DAYS"/>
    <s v="By Road"/>
    <x v="7"/>
  </r>
  <r>
    <x v="0"/>
    <s v="GST/2223/042"/>
    <d v="2022-06-02T00:00:00"/>
    <d v="2020-05-12T00:00:00"/>
    <s v="SOF2020011"/>
    <s v="C0055"/>
    <x v="3"/>
    <x v="1"/>
    <x v="1"/>
    <s v="Defence"/>
    <x v="0"/>
    <x v="0"/>
    <s v="Jharkhand"/>
    <s v="Dhanbad"/>
    <s v="Item2001ProductEG"/>
    <x v="4"/>
    <s v="ProductEG"/>
    <x v="0"/>
    <s v="Branch A"/>
    <s v="GREEN"/>
    <s v="ROSE"/>
    <n v="50"/>
    <s v="NOS"/>
    <n v="20"/>
    <n v="1000"/>
    <s v="INR"/>
    <n v="0.12"/>
    <n v="33013091"/>
    <n v="120"/>
    <s v="Ravindra Shah"/>
    <s v="45 DAYS"/>
    <s v="By Road"/>
    <x v="4"/>
  </r>
  <r>
    <x v="0"/>
    <s v="GST/2223/043"/>
    <d v="2022-06-06T00:00:00"/>
    <d v="2020-05-12T00:00:00"/>
    <s v="SOF2020012"/>
    <s v="C0010"/>
    <x v="36"/>
    <x v="0"/>
    <x v="0"/>
    <s v="Coal &amp; Mines"/>
    <x v="1"/>
    <x v="0"/>
    <s v="Kerala"/>
    <s v="Kochi"/>
    <s v="Item2002ProductLM"/>
    <x v="4"/>
    <s v="ProductLM"/>
    <x v="1"/>
    <s v="Branch A"/>
    <s v="RED"/>
    <s v="SUNFLOWER"/>
    <n v="100"/>
    <s v="NOS"/>
    <n v="5720"/>
    <n v="572000"/>
    <s v="INR"/>
    <n v="0.12"/>
    <n v="33012948"/>
    <n v="68640"/>
    <s v="Vishal Patil"/>
    <s v="60 DAYS"/>
    <s v="By Vessel"/>
    <x v="2"/>
  </r>
  <r>
    <x v="0"/>
    <s v="GST/2223/044"/>
    <d v="2022-06-06T00:00:00"/>
    <d v="2020-05-12T00:00:00"/>
    <s v="SOF2020013"/>
    <s v="C0009"/>
    <x v="37"/>
    <x v="1"/>
    <x v="1"/>
    <s v="Fire Protection "/>
    <x v="0"/>
    <x v="4"/>
    <s v="Punjab"/>
    <s v="Jalandhar"/>
    <s v="Item2002ProductLQ"/>
    <x v="4"/>
    <s v="ProductLQ"/>
    <x v="1"/>
    <s v="Branch B"/>
    <s v="YELLOW"/>
    <s v="LILY"/>
    <n v="100"/>
    <s v="NOS"/>
    <n v="700"/>
    <n v="70000"/>
    <s v="INR"/>
    <n v="0.12"/>
    <n v="33051010"/>
    <n v="8400"/>
    <s v="Pankaj Sawant"/>
    <s v="90 DAYS"/>
    <s v="By Vessel"/>
    <x v="8"/>
  </r>
  <r>
    <x v="0"/>
    <s v="GST/2223/045"/>
    <d v="2022-06-06T00:00:00"/>
    <d v="2020-05-12T00:00:00"/>
    <s v="SOF2020014"/>
    <s v="C0008"/>
    <x v="4"/>
    <x v="0"/>
    <x v="0"/>
    <s v="Shipping"/>
    <x v="1"/>
    <x v="1"/>
    <s v="Rajasthan"/>
    <s v="Jaipur"/>
    <s v="Item2002ProductLN"/>
    <x v="4"/>
    <s v="ProductLN"/>
    <x v="1"/>
    <s v="Branch C"/>
    <s v="BLUE"/>
    <s v="LOTUS"/>
    <n v="100"/>
    <s v="NOS"/>
    <n v="200"/>
    <n v="20000"/>
    <s v="INR"/>
    <n v="0.12"/>
    <n v="33059090"/>
    <n v="2400"/>
    <s v="Sandeep Kunde"/>
    <s v="100% AGAINST PI"/>
    <s v="By Vessel"/>
    <x v="0"/>
  </r>
  <r>
    <x v="0"/>
    <s v="GST/2223/046"/>
    <d v="2022-06-14T00:00:00"/>
    <d v="2020-05-20T00:00:00"/>
    <s v="SOF2020015"/>
    <s v="C0007"/>
    <x v="38"/>
    <x v="1"/>
    <x v="1"/>
    <s v="Aviation"/>
    <x v="2"/>
    <x v="0"/>
    <s v="Tamilnadu"/>
    <s v="Chennai"/>
    <s v="Item2003ProductPA"/>
    <x v="4"/>
    <s v="ProductPA"/>
    <x v="1"/>
    <s v="Branch A"/>
    <s v="PINK"/>
    <s v="ROSE"/>
    <n v="100"/>
    <s v="NOS"/>
    <n v="5285"/>
    <n v="528510"/>
    <s v="INR"/>
    <n v="0.12"/>
    <n v="33049930"/>
    <n v="63420"/>
    <s v="Nikesh Dave"/>
    <s v="30% ADV &amp; 70% AGAINST PI"/>
    <s v="By Vessel"/>
    <x v="1"/>
  </r>
  <r>
    <x v="0"/>
    <s v="GST/2223/047"/>
    <d v="2022-06-27T00:00:00"/>
    <d v="2020-05-22T00:00:00"/>
    <s v="SOF2020018"/>
    <s v="C0014"/>
    <x v="39"/>
    <x v="0"/>
    <x v="1"/>
    <s v="Railways"/>
    <x v="0"/>
    <x v="0"/>
    <s v="Madhya Pradesh"/>
    <s v="Jabalpur"/>
    <s v="Item1005ProductDE"/>
    <x v="0"/>
    <s v="ProductDE"/>
    <x v="4"/>
    <s v="Branch A"/>
    <s v="RED"/>
    <s v="LILY"/>
    <n v="100000"/>
    <s v="NOS"/>
    <n v="150"/>
    <n v="15000000"/>
    <s v="INR"/>
    <n v="0.12"/>
    <n v="33071010"/>
    <n v="1800000"/>
    <s v="Pankaj Sawant"/>
    <s v="100% AGAINST DELIVERY"/>
    <s v="By Air"/>
    <x v="6"/>
  </r>
  <r>
    <x v="0"/>
    <s v="GST/2223/049"/>
    <d v="2022-07-07T00:00:00"/>
    <d v="2020-05-30T00:00:00"/>
    <s v="SOF2020027"/>
    <s v="C0046"/>
    <x v="40"/>
    <x v="2"/>
    <x v="4"/>
    <s v="IT"/>
    <x v="0"/>
    <x v="2"/>
    <s v="Maharashtra"/>
    <s v="Nashik"/>
    <s v="Item1004ProductDA"/>
    <x v="0"/>
    <s v="ProductDA"/>
    <x v="1"/>
    <s v="Branch E"/>
    <s v="GREEN"/>
    <s v="ROSE"/>
    <n v="20"/>
    <s v="NOS"/>
    <n v="77"/>
    <n v="1540"/>
    <s v="INR"/>
    <n v="0.18"/>
    <n v="33051010"/>
    <n v="280"/>
    <s v="Nikesh Dave"/>
    <s v="45 DAYS"/>
    <s v="By Air"/>
    <x v="8"/>
  </r>
  <r>
    <x v="0"/>
    <s v="GST/2223/050"/>
    <d v="2022-07-14T00:00:00"/>
    <d v="2020-06-03T00:00:00"/>
    <s v="SOF2020028"/>
    <s v="C0058"/>
    <x v="22"/>
    <x v="0"/>
    <x v="4"/>
    <s v="Power"/>
    <x v="2"/>
    <x v="4"/>
    <s v="Delhi"/>
    <s v="New Delhi"/>
    <s v="Item3001ProductRT"/>
    <x v="2"/>
    <s v="ProductRT"/>
    <x v="4"/>
    <s v="Branch B"/>
    <s v="WHITE"/>
    <s v="LOTUS"/>
    <n v="40"/>
    <s v="NOS"/>
    <n v="39"/>
    <n v="1560"/>
    <s v="INR"/>
    <n v="0.18"/>
    <n v="33049930"/>
    <n v="280"/>
    <s v="Sunil Yadav"/>
    <s v="100% AGAINST DELIVERY"/>
    <s v="By Road"/>
    <x v="6"/>
  </r>
  <r>
    <x v="0"/>
    <s v="GST/2223/052"/>
    <d v="2022-08-03T00:00:00"/>
    <d v="2020-06-03T00:00:00"/>
    <s v="SOF2020030"/>
    <s v="C0062"/>
    <x v="41"/>
    <x v="3"/>
    <x v="1"/>
    <s v="Other Industries"/>
    <x v="0"/>
    <x v="1"/>
    <s v="Jharkhand"/>
    <s v="Hazaribagh"/>
    <s v="Item3002ProductED"/>
    <x v="2"/>
    <s v="ProductED"/>
    <x v="1"/>
    <s v="Branch C"/>
    <s v="PINK"/>
    <s v="LOTUS"/>
    <n v="40"/>
    <s v="NOS"/>
    <n v="3525"/>
    <n v="141000"/>
    <s v="INR"/>
    <n v="0.18"/>
    <n v="33013091"/>
    <n v="25380"/>
    <s v="Vishal Patil"/>
    <s v="90 DAYS"/>
    <s v="By Air"/>
    <x v="6"/>
  </r>
  <r>
    <x v="0"/>
    <s v="GST/2223/055"/>
    <d v="2022-11-07T00:00:00"/>
    <d v="2020-06-10T00:00:00"/>
    <s v="SOS2020017"/>
    <s v="C0072"/>
    <x v="42"/>
    <x v="3"/>
    <x v="1"/>
    <s v="Other Industries"/>
    <x v="0"/>
    <x v="3"/>
    <s v="Madhya Pradesh"/>
    <s v="Indore"/>
    <s v="Item3005ProductVF"/>
    <x v="2"/>
    <s v="ProductVF"/>
    <x v="4"/>
    <s v="Branch D"/>
    <s v="PINK"/>
    <s v="LOTUS"/>
    <n v="50"/>
    <s v="NOS"/>
    <n v="99"/>
    <n v="4950"/>
    <s v="INR"/>
    <n v="0.18"/>
    <n v="33051010"/>
    <n v="890"/>
    <s v="Ravindra Shah"/>
    <s v="90 DAYS"/>
    <s v="By Road"/>
    <x v="7"/>
  </r>
  <r>
    <x v="0"/>
    <s v="GST/2223/056"/>
    <d v="2022-08-13T00:00:00"/>
    <d v="2020-06-10T00:00:00"/>
    <s v="SOS2020018"/>
    <s v="C0073"/>
    <x v="43"/>
    <x v="0"/>
    <x v="1"/>
    <s v="Commercial Establishment"/>
    <x v="1"/>
    <x v="2"/>
    <s v="Delhi"/>
    <s v="New Delhi"/>
    <s v="Item3005ProductVH\"/>
    <x v="2"/>
    <s v="ProductVH\"/>
    <x v="0"/>
    <s v="Branch E"/>
    <s v="GREEN"/>
    <s v="LOTUS"/>
    <n v="40"/>
    <s v="NOS"/>
    <n v="28"/>
    <n v="1120"/>
    <s v="INR"/>
    <n v="0.18"/>
    <n v="33059090"/>
    <n v="200"/>
    <s v="Vishal Patil"/>
    <s v="100% AGAINST PI"/>
    <s v="By Vessel"/>
    <x v="4"/>
  </r>
  <r>
    <x v="0"/>
    <s v="GST/2223/057"/>
    <d v="2022-08-14T00:00:00"/>
    <d v="2020-06-10T00:00:00"/>
    <s v="SOS2020019"/>
    <s v="C0075"/>
    <x v="44"/>
    <x v="2"/>
    <x v="1"/>
    <s v="Steel Plant"/>
    <x v="0"/>
    <x v="4"/>
    <s v="Andhra Pradesh"/>
    <s v="Vijaywada"/>
    <s v="Item3005ProductML"/>
    <x v="2"/>
    <s v="ProductML"/>
    <x v="0"/>
    <s v="Branch B"/>
    <s v="WHITE"/>
    <s v="ROSE"/>
    <n v="40"/>
    <s v="NOS"/>
    <n v="57"/>
    <n v="2280"/>
    <s v="INR"/>
    <n v="0.18"/>
    <n v="33049930"/>
    <n v="410"/>
    <s v="Pramod Patange"/>
    <s v="30% ADV &amp; 70% AGAINST PI"/>
    <s v="By Vessel"/>
    <x v="2"/>
  </r>
  <r>
    <x v="0"/>
    <s v="GST/2223/058"/>
    <d v="2022-08-15T00:00:00"/>
    <d v="2020-06-11T00:00:00"/>
    <s v="SOS2020020"/>
    <s v="C0080"/>
    <x v="45"/>
    <x v="0"/>
    <x v="1"/>
    <s v="Aviation"/>
    <x v="2"/>
    <x v="1"/>
    <s v="Rajasthan"/>
    <s v="Udaipur"/>
    <s v="Item4002ProductVT"/>
    <x v="3"/>
    <s v="ProductVT"/>
    <x v="2"/>
    <s v="Branch C"/>
    <s v="PINK"/>
    <s v="LILY"/>
    <n v="40"/>
    <s v="SET"/>
    <n v="552"/>
    <n v="22080"/>
    <s v="INR"/>
    <n v="0.18"/>
    <n v="33051010"/>
    <n v="3970"/>
    <s v="Pramod Patange"/>
    <s v="30% ADV &amp; 70% AGAINST PI"/>
    <s v="By Air"/>
    <x v="3"/>
  </r>
  <r>
    <x v="0"/>
    <s v="GST/2223/059"/>
    <d v="2022-08-16T00:00:00"/>
    <d v="2020-06-11T00:00:00"/>
    <s v="SOS2020021"/>
    <s v="C0082"/>
    <x v="46"/>
    <x v="2"/>
    <x v="3"/>
    <s v="Power"/>
    <x v="1"/>
    <x v="4"/>
    <s v="Telangana"/>
    <s v="Hyderabad"/>
    <s v="Item1004ProductDA"/>
    <x v="0"/>
    <s v="ProductDA"/>
    <x v="3"/>
    <s v="Branch B"/>
    <s v="RED"/>
    <s v="ROSE"/>
    <n v="40"/>
    <s v="SET"/>
    <n v="336"/>
    <n v="13440"/>
    <s v="INR"/>
    <n v="0.18"/>
    <n v="33049930"/>
    <n v="2420"/>
    <s v="Sadashiv Shirsat"/>
    <s v="30 DAYS"/>
    <s v="By Road"/>
    <x v="4"/>
  </r>
  <r>
    <x v="0"/>
    <s v="GST/2223/060"/>
    <d v="2022-08-20T00:00:00"/>
    <d v="2020-06-15T00:00:00"/>
    <s v="SOS2020022"/>
    <s v="C0086"/>
    <x v="47"/>
    <x v="1"/>
    <x v="2"/>
    <s v="Other Industries"/>
    <x v="1"/>
    <x v="4"/>
    <s v="Madhya Pradesh"/>
    <s v="Indore"/>
    <s v="Item1003ProductBC"/>
    <x v="0"/>
    <s v="ProductBC"/>
    <x v="4"/>
    <s v="Branch B"/>
    <s v="GREEN"/>
    <s v="SUNFLOWER"/>
    <n v="20"/>
    <s v="SET"/>
    <n v="558"/>
    <n v="11160"/>
    <s v="INR"/>
    <n v="0.18"/>
    <n v="33051010"/>
    <n v="2010"/>
    <s v="Sandeep Kunde"/>
    <s v="100% AGAINST PI"/>
    <s v="By Road"/>
    <x v="1"/>
  </r>
  <r>
    <x v="0"/>
    <s v="GST/2223/061"/>
    <d v="2022-08-21T00:00:00"/>
    <d v="2020-06-15T00:00:00"/>
    <s v="SOS2020023"/>
    <s v="C0088"/>
    <x v="29"/>
    <x v="4"/>
    <x v="1"/>
    <s v="Railways"/>
    <x v="0"/>
    <x v="3"/>
    <s v="Haryana"/>
    <s v="Gurgaon"/>
    <s v="Item1004ProductCA"/>
    <x v="0"/>
    <s v="ProductCA"/>
    <x v="1"/>
    <s v="Branch D"/>
    <s v="RED"/>
    <s v="ROSE"/>
    <n v="20"/>
    <s v="SET"/>
    <n v="140"/>
    <n v="2800"/>
    <s v="INR"/>
    <n v="0.18"/>
    <n v="33049930"/>
    <n v="500"/>
    <s v="Rajesh Uttarde"/>
    <s v="90 DAYS"/>
    <s v="By Vessel"/>
    <x v="3"/>
  </r>
  <r>
    <x v="0"/>
    <s v="GST/2223/063"/>
    <d v="2022-08-22T00:00:00"/>
    <d v="2020-06-15T00:00:00"/>
    <s v="SOS2020025"/>
    <s v="C0097"/>
    <x v="31"/>
    <x v="0"/>
    <x v="0"/>
    <s v="Defence"/>
    <x v="1"/>
    <x v="0"/>
    <s v="Karnataka"/>
    <s v="Banglore"/>
    <s v="Item1003ProductBA"/>
    <x v="0"/>
    <s v="ProductBA"/>
    <x v="1"/>
    <s v="Branch A"/>
    <s v="BLUE"/>
    <s v="ROSE"/>
    <n v="20"/>
    <s v="SET"/>
    <n v="295"/>
    <n v="5900"/>
    <s v="INR"/>
    <n v="0.18"/>
    <n v="33071010"/>
    <n v="1060"/>
    <s v="Sadashiv Shirsat"/>
    <s v="30% ADV &amp; 70% AGAINST PI"/>
    <s v="By Air"/>
    <x v="1"/>
  </r>
  <r>
    <x v="0"/>
    <s v="GST/2223/064"/>
    <d v="2022-11-12T00:00:00"/>
    <d v="2020-06-15T00:00:00"/>
    <s v="SOS2020026"/>
    <s v="C0094"/>
    <x v="33"/>
    <x v="1"/>
    <x v="2"/>
    <s v="Shipping"/>
    <x v="2"/>
    <x v="3"/>
    <s v="Gujrat"/>
    <s v="Ahmedabad"/>
    <s v="Item1002ProductAE"/>
    <x v="0"/>
    <s v="ProductAE"/>
    <x v="2"/>
    <s v="Branch D"/>
    <s v="RED"/>
    <s v="SUNFLOWER"/>
    <n v="90"/>
    <s v="SET"/>
    <n v="2403"/>
    <n v="216270"/>
    <s v="INR"/>
    <n v="0.18"/>
    <n v="33012948"/>
    <n v="38930"/>
    <s v="Vishal Patil"/>
    <s v="60 DAYS"/>
    <s v="By Air"/>
    <x v="7"/>
  </r>
  <r>
    <x v="0"/>
    <s v="GST/2223/065"/>
    <d v="2022-08-18T00:00:00"/>
    <d v="2020-06-17T00:00:00"/>
    <s v="SOS2020029"/>
    <s v="C0099"/>
    <x v="48"/>
    <x v="4"/>
    <x v="4"/>
    <s v="MEP / PMC"/>
    <x v="2"/>
    <x v="2"/>
    <s v="Karnataka"/>
    <s v="Banglore"/>
    <s v="Item5003ProductLP"/>
    <x v="1"/>
    <s v="ProductLP"/>
    <x v="4"/>
    <s v="Branch E"/>
    <s v="PINK"/>
    <s v="LOTUS"/>
    <n v="90"/>
    <s v="SET"/>
    <n v="12"/>
    <n v="1040"/>
    <s v="INR"/>
    <n v="0.18"/>
    <n v="33051010"/>
    <n v="190"/>
    <s v="Sadashiv Shirsat"/>
    <s v="45 DAYS"/>
    <s v="By Air"/>
    <x v="6"/>
  </r>
  <r>
    <x v="0"/>
    <s v="GST/2223/066"/>
    <d v="2022-08-21T00:00:00"/>
    <d v="2020-06-17T00:00:00"/>
    <s v="SOS2020030"/>
    <s v="C0104"/>
    <x v="49"/>
    <x v="0"/>
    <x v="4"/>
    <s v="IT"/>
    <x v="0"/>
    <x v="0"/>
    <s v="Jharkhand"/>
    <s v="Dhanbad"/>
    <s v="Item5003ProductMA"/>
    <x v="1"/>
    <s v="ProductMA"/>
    <x v="4"/>
    <s v="Branch A"/>
    <s v="GREEN"/>
    <s v="ROSE"/>
    <n v="90"/>
    <s v="SET"/>
    <n v="15"/>
    <n v="1340"/>
    <s v="INR"/>
    <n v="0.18"/>
    <n v="33059090"/>
    <n v="240"/>
    <s v="B. Karthikeyan"/>
    <s v="60 DAYS"/>
    <s v="By Vessel"/>
    <x v="3"/>
  </r>
  <r>
    <x v="0"/>
    <s v="GST/2223/067"/>
    <d v="2022-09-20T00:00:00"/>
    <d v="2020-06-19T00:00:00"/>
    <s v="SOS2020031"/>
    <s v="C0103"/>
    <x v="50"/>
    <x v="1"/>
    <x v="4"/>
    <s v="Other Industries"/>
    <x v="1"/>
    <x v="0"/>
    <s v="Kerala"/>
    <s v="Kochi"/>
    <s v="Item1001ProductAB"/>
    <x v="0"/>
    <s v="ProductAB"/>
    <x v="0"/>
    <s v="Branch A"/>
    <s v="WHITE"/>
    <s v="LOTUS"/>
    <n v="30"/>
    <s v="SET"/>
    <n v="450"/>
    <n v="13500"/>
    <s v="INR"/>
    <n v="0.18"/>
    <n v="33041000"/>
    <n v="2430"/>
    <s v="Ravindra Shah"/>
    <s v="100% AGAINST PI"/>
    <s v="By Road"/>
    <x v="7"/>
  </r>
  <r>
    <x v="0"/>
    <s v="GST/2223/068"/>
    <d v="2022-09-03T00:00:00"/>
    <d v="2020-06-27T00:00:00"/>
    <s v="SOF2020032"/>
    <s v="C0121"/>
    <x v="51"/>
    <x v="4"/>
    <x v="1"/>
    <s v="MEP / PMC"/>
    <x v="0"/>
    <x v="0"/>
    <s v="Telangana"/>
    <s v="Hyderabad"/>
    <s v="Item4004ProductWV"/>
    <x v="3"/>
    <s v="ProductWV"/>
    <x v="2"/>
    <s v="Branch A"/>
    <s v="GREEN"/>
    <s v="ROSE"/>
    <n v="30"/>
    <s v="NOS"/>
    <n v="240"/>
    <n v="7200"/>
    <s v="INR"/>
    <n v="0.18"/>
    <n v="33051010"/>
    <n v="1300"/>
    <s v="Gaurav Hinge"/>
    <s v="100% AGAINST PI"/>
    <s v="By Road"/>
    <x v="3"/>
  </r>
  <r>
    <x v="0"/>
    <s v="GST/2223/074"/>
    <d v="2022-08-29T00:00:00"/>
    <d v="2020-07-08T00:00:00"/>
    <s v="SOF2020040"/>
    <s v="C0132"/>
    <x v="52"/>
    <x v="1"/>
    <x v="1"/>
    <s v="Commercial Establishment"/>
    <x v="1"/>
    <x v="0"/>
    <s v="Karnataka"/>
    <s v="Banglore"/>
    <s v="Item3004ProductPR"/>
    <x v="2"/>
    <s v="ProductPR"/>
    <x v="2"/>
    <s v="Branch A"/>
    <s v="BLUE"/>
    <s v="LILY"/>
    <n v="70"/>
    <s v="NOS"/>
    <n v="37000"/>
    <n v="2590000"/>
    <s v="INR"/>
    <n v="0.18"/>
    <n v="33013091"/>
    <n v="466200"/>
    <s v="Sunil Yadav"/>
    <s v="60 DAYS"/>
    <s v="By Vessel"/>
    <x v="2"/>
  </r>
  <r>
    <x v="0"/>
    <s v="GST/2223/075"/>
    <d v="2022-08-28T00:00:00"/>
    <d v="2020-07-13T00:00:00"/>
    <s v="SOF2020041"/>
    <s v="C0137"/>
    <x v="53"/>
    <x v="0"/>
    <x v="4"/>
    <s v="Fire Protection "/>
    <x v="1"/>
    <x v="0"/>
    <s v="Tamilnadu"/>
    <s v="Chennai"/>
    <s v="Item3002ProductFR"/>
    <x v="2"/>
    <s v="ProductFR"/>
    <x v="4"/>
    <s v="Branch A"/>
    <s v="BLUE"/>
    <s v="ROSE"/>
    <n v="60"/>
    <s v="NOS"/>
    <n v="16632"/>
    <n v="997920"/>
    <s v="INR"/>
    <n v="0.18"/>
    <n v="33049930"/>
    <n v="179630"/>
    <s v="Pankaj Sawant"/>
    <s v="90 DAYS"/>
    <s v="By Vessel"/>
    <x v="7"/>
  </r>
  <r>
    <x v="0"/>
    <s v="GST/2223/078"/>
    <d v="2022-09-02T00:00:00"/>
    <d v="2020-07-15T00:00:00"/>
    <s v="SOF2020044"/>
    <s v="C0140"/>
    <x v="54"/>
    <x v="0"/>
    <x v="1"/>
    <s v="Power"/>
    <x v="0"/>
    <x v="3"/>
    <s v="Andhra Pradesh"/>
    <s v="Vijaywada"/>
    <s v="Item3002ProductKL"/>
    <x v="2"/>
    <s v="ProductKL"/>
    <x v="0"/>
    <s v="Branch D"/>
    <s v="RED"/>
    <s v="ROSE"/>
    <n v="60"/>
    <s v="NOS"/>
    <n v="35"/>
    <n v="2100"/>
    <s v="INR"/>
    <n v="0.18"/>
    <n v="33030050"/>
    <n v="380"/>
    <s v="Rajesh Uttarde"/>
    <s v="100% AGAINST DELIVERY"/>
    <s v="By Vessel"/>
    <x v="8"/>
  </r>
  <r>
    <x v="0"/>
    <s v="GST/2223/079"/>
    <d v="2022-10-21T00:00:00"/>
    <d v="2020-08-29T00:00:00"/>
    <s v="SOF2020091"/>
    <s v="C0500"/>
    <x v="55"/>
    <x v="0"/>
    <x v="1"/>
    <s v="OEM's"/>
    <x v="2"/>
    <x v="1"/>
    <s v="Haryana"/>
    <s v="Faridabad"/>
    <s v="Item5003ProductFF"/>
    <x v="1"/>
    <s v="ProductFF"/>
    <x v="3"/>
    <s v="Branch C"/>
    <s v="GREEN"/>
    <s v="SUNFLOWER"/>
    <n v="40"/>
    <s v="NOS"/>
    <n v="12250"/>
    <n v="490000"/>
    <s v="INR"/>
    <n v="0.18"/>
    <n v="33059090"/>
    <n v="88200"/>
    <s v="Ravindra Shah"/>
    <s v="90 DAYS"/>
    <s v="By Vessel"/>
    <x v="2"/>
  </r>
  <r>
    <x v="0"/>
    <s v="GST/2223/081"/>
    <d v="2022-10-09T00:00:00"/>
    <d v="2020-08-29T00:00:00"/>
    <s v="SOF2020093"/>
    <s v="C0498"/>
    <x v="56"/>
    <x v="1"/>
    <x v="1"/>
    <s v="Oil &amp; Gas"/>
    <x v="1"/>
    <x v="4"/>
    <s v="Karnataka"/>
    <s v="Banglore"/>
    <s v="Item5002ProductZI"/>
    <x v="1"/>
    <s v="ProductZI"/>
    <x v="0"/>
    <s v="Branch B"/>
    <s v="YELLOW"/>
    <s v="ROSE"/>
    <n v="40"/>
    <s v="NOS"/>
    <n v="336"/>
    <n v="13440"/>
    <s v="INR"/>
    <n v="0.18"/>
    <n v="33041000"/>
    <n v="2420"/>
    <s v="Pankaj Sawant"/>
    <s v="30% ADV &amp; 70% AGAINST PI"/>
    <s v="By Air"/>
    <x v="0"/>
  </r>
  <r>
    <x v="0"/>
    <s v="GST/2223/082"/>
    <d v="2022-09-19T00:00:00"/>
    <d v="2020-08-29T00:00:00"/>
    <s v="SOF2020094"/>
    <s v="C0497"/>
    <x v="57"/>
    <x v="0"/>
    <x v="2"/>
    <s v="MEP / PMC"/>
    <x v="2"/>
    <x v="1"/>
    <s v="Jharkhand"/>
    <s v="Jamshedpur"/>
    <s v="Item1004ProductCD"/>
    <x v="0"/>
    <s v="ProductCD"/>
    <x v="0"/>
    <s v="Branch C"/>
    <s v="BLUE"/>
    <s v="LOTUS"/>
    <n v="40"/>
    <s v="NOS"/>
    <n v="438"/>
    <n v="17520"/>
    <s v="INR"/>
    <n v="0.18"/>
    <n v="33071010"/>
    <n v="3150"/>
    <s v="Sandeep Kunde"/>
    <s v="30 DAYS"/>
    <s v="By Vessel"/>
    <x v="1"/>
  </r>
  <r>
    <x v="0"/>
    <s v="GST/2223/083"/>
    <d v="2022-09-28T00:00:00"/>
    <d v="2020-09-05T00:00:00"/>
    <s v="SOF2020095"/>
    <s v="C0496"/>
    <x v="58"/>
    <x v="1"/>
    <x v="0"/>
    <s v="IT"/>
    <x v="0"/>
    <x v="0"/>
    <s v="Kerala"/>
    <s v="Thrissur"/>
    <s v="Item5002ProductZp"/>
    <x v="1"/>
    <s v="ProductZp"/>
    <x v="4"/>
    <s v="Branch A"/>
    <s v="PINK"/>
    <s v="ROSE"/>
    <n v="60"/>
    <s v="NOS"/>
    <n v="388"/>
    <n v="23280"/>
    <s v="INR"/>
    <n v="0.18"/>
    <n v="33030050"/>
    <n v="4190"/>
    <s v="Nikesh Dave"/>
    <s v="45 DAYS"/>
    <s v="By Road"/>
    <x v="6"/>
  </r>
  <r>
    <x v="0"/>
    <s v="GST/2223/084"/>
    <d v="2022-09-30T00:00:00"/>
    <d v="2020-09-06T00:00:00"/>
    <s v="SOF2020096"/>
    <s v="C0495"/>
    <x v="59"/>
    <x v="2"/>
    <x v="1"/>
    <s v="Other Industries"/>
    <x v="0"/>
    <x v="4"/>
    <s v="Punjab"/>
    <s v="Chandigarh"/>
    <s v="Item1004ProductCB"/>
    <x v="0"/>
    <s v="ProductCB"/>
    <x v="4"/>
    <s v="Branch B"/>
    <s v="GREEN"/>
    <s v="LOTUS"/>
    <n v="60"/>
    <s v="NOS"/>
    <n v="82"/>
    <n v="4920"/>
    <s v="INR"/>
    <n v="0.18"/>
    <n v="33051010"/>
    <n v="890"/>
    <s v="Rajesh Uttarde"/>
    <s v="60 DAYS"/>
    <s v="By Air"/>
    <x v="3"/>
  </r>
  <r>
    <x v="0"/>
    <s v="GST/2223/085"/>
    <d v="2022-10-11T00:00:00"/>
    <d v="2020-09-16T00:00:00"/>
    <s v="SOF2020106"/>
    <s v="C0485"/>
    <x v="60"/>
    <x v="0"/>
    <x v="0"/>
    <s v="OEM's"/>
    <x v="1"/>
    <x v="3"/>
    <s v="Madhya Pradesh"/>
    <s v="Ujjain"/>
    <s v="Item4004ProductWV"/>
    <x v="3"/>
    <s v="ProductWV"/>
    <x v="3"/>
    <s v="Branch D"/>
    <s v="RED"/>
    <s v="LOTUS"/>
    <n v="240"/>
    <s v="NOS"/>
    <n v="3390"/>
    <n v="813600"/>
    <s v="INR"/>
    <n v="0.18"/>
    <n v="33071010"/>
    <n v="146450"/>
    <s v="Nikesh Dave"/>
    <s v="60 DAYS"/>
    <s v="By Vessel"/>
    <x v="1"/>
  </r>
  <r>
    <x v="0"/>
    <s v="GST/2223/086"/>
    <d v="2022-10-12T00:00:00"/>
    <d v="2020-09-16T00:00:00"/>
    <s v="SOF2020107"/>
    <s v="C0484"/>
    <x v="61"/>
    <x v="0"/>
    <x v="1"/>
    <s v="Power"/>
    <x v="0"/>
    <x v="0"/>
    <s v="Delhi"/>
    <s v="New Delhi"/>
    <s v="Item4004ProductOQ"/>
    <x v="3"/>
    <s v="ProductOQ"/>
    <x v="3"/>
    <s v="Branch A"/>
    <s v="YELLOW"/>
    <s v="ROSE"/>
    <n v="200"/>
    <s v="NOS"/>
    <n v="8"/>
    <n v="1540"/>
    <s v="INR"/>
    <n v="0.18"/>
    <n v="33030050"/>
    <n v="280"/>
    <s v="Rajesh Uttarde"/>
    <s v="90 DAYS"/>
    <s v="By Vessel"/>
    <x v="6"/>
  </r>
  <r>
    <x v="0"/>
    <s v="GST/2223/087"/>
    <d v="2022-10-13T00:00:00"/>
    <d v="2020-09-16T00:00:00"/>
    <s v="SOF2020108"/>
    <s v="C0483"/>
    <x v="62"/>
    <x v="0"/>
    <x v="2"/>
    <s v="Oil &amp; Gas"/>
    <x v="1"/>
    <x v="4"/>
    <s v="Haryana"/>
    <s v="Faridabad"/>
    <s v="Item4004ProductQA"/>
    <x v="3"/>
    <s v="ProductQA"/>
    <x v="0"/>
    <s v="Branch B"/>
    <s v="BLUE"/>
    <s v="LOTUS"/>
    <n v="200"/>
    <s v="NOS"/>
    <n v="3000"/>
    <n v="600000"/>
    <s v="INR"/>
    <n v="0.18"/>
    <n v="33013091"/>
    <n v="108000"/>
    <s v="Sunil Yadav"/>
    <s v="100% AGAINST PI"/>
    <s v="By Vessel"/>
    <x v="3"/>
  </r>
  <r>
    <x v="0"/>
    <s v="GST/2223/088"/>
    <d v="2022-11-19T00:00:00"/>
    <d v="2020-09-19T00:00:00"/>
    <s v="SOF2020109"/>
    <s v="C0482"/>
    <x v="63"/>
    <x v="0"/>
    <x v="3"/>
    <s v="MEP / PMC"/>
    <x v="2"/>
    <x v="1"/>
    <s v="Andhra Pradesh"/>
    <s v="Vijaywada"/>
    <s v="Item4004ProductQL"/>
    <x v="3"/>
    <s v="ProductQL"/>
    <x v="0"/>
    <s v="Branch C"/>
    <s v="PINK"/>
    <s v="ROSE"/>
    <n v="40"/>
    <s v="NOS"/>
    <n v="2076"/>
    <n v="83040"/>
    <s v="INR"/>
    <n v="0.18"/>
    <n v="33012948"/>
    <n v="14950"/>
    <s v="Sadashiv Shirsat"/>
    <s v="30% ADV &amp; 70% AGAINST PI"/>
    <s v="By Air"/>
    <x v="7"/>
  </r>
  <r>
    <x v="0"/>
    <s v="GST/2223/089"/>
    <d v="2022-11-27T00:00:00"/>
    <d v="2020-09-20T00:00:00"/>
    <s v="SOF2020110"/>
    <s v="C0481"/>
    <x v="64"/>
    <x v="0"/>
    <x v="4"/>
    <s v="IT"/>
    <x v="2"/>
    <x v="0"/>
    <s v="Karnataka"/>
    <s v="Banglore"/>
    <s v="Item4004ProductQP"/>
    <x v="3"/>
    <s v="ProductQP"/>
    <x v="4"/>
    <s v="Branch A"/>
    <s v="GREEN"/>
    <s v="LOTUS"/>
    <n v="40"/>
    <s v="NOS"/>
    <n v="281"/>
    <n v="11240"/>
    <s v="INR"/>
    <n v="0.18"/>
    <n v="33013091"/>
    <n v="2020"/>
    <s v="B. Karthikeyan"/>
    <s v="100% AGAINST DELIVERY"/>
    <s v="By Air"/>
    <x v="4"/>
  </r>
  <r>
    <x v="0"/>
    <s v="GST/2223/090"/>
    <d v="2022-11-29T00:00:00"/>
    <d v="2020-09-21T00:00:00"/>
    <s v="SOF2020111"/>
    <s v="C0480"/>
    <x v="65"/>
    <x v="1"/>
    <x v="4"/>
    <s v="Other Industries"/>
    <x v="0"/>
    <x v="4"/>
    <s v="Jharkhand"/>
    <s v="Jamshedpur"/>
    <s v="Item4003ProductRG"/>
    <x v="3"/>
    <s v="ProductRG"/>
    <x v="4"/>
    <s v="Branch B"/>
    <s v="WHITE"/>
    <s v="ROSE"/>
    <n v="40"/>
    <s v="NOS"/>
    <n v="82"/>
    <n v="3260"/>
    <s v="INR"/>
    <n v="0.18"/>
    <n v="33012948"/>
    <n v="590"/>
    <s v="Ravindra Shah"/>
    <s v="30 DAYS"/>
    <s v="By Air"/>
    <x v="2"/>
  </r>
  <r>
    <x v="0"/>
    <s v="GST/2223/095"/>
    <d v="2022-12-20T00:00:00"/>
    <d v="2020-10-19T00:00:00"/>
    <s v="SOF2020139"/>
    <s v="C0392"/>
    <x v="66"/>
    <x v="4"/>
    <x v="2"/>
    <s v="Defence"/>
    <x v="1"/>
    <x v="1"/>
    <s v="Kerala"/>
    <s v="Kozikode"/>
    <s v="Item3001ProductJK"/>
    <x v="2"/>
    <s v="ProductJK"/>
    <x v="4"/>
    <s v="Branch C"/>
    <s v="RED"/>
    <s v="LOTUS"/>
    <n v="150"/>
    <s v="NOS"/>
    <n v="69"/>
    <n v="10290"/>
    <s v="INR"/>
    <n v="0.18"/>
    <n v="33012948"/>
    <n v="1850"/>
    <s v="Sunil Yadav"/>
    <s v="100% AGAINST PI"/>
    <s v="By Vessel"/>
    <x v="2"/>
  </r>
  <r>
    <x v="0"/>
    <s v="GST/2223/096"/>
    <d v="2022-12-21T00:00:00"/>
    <d v="2020-10-20T00:00:00"/>
    <s v="SOF2020140"/>
    <s v="C0391"/>
    <x v="67"/>
    <x v="3"/>
    <x v="3"/>
    <s v="Coal &amp; Mines"/>
    <x v="2"/>
    <x v="0"/>
    <s v="Punjab"/>
    <s v="Chandigarh"/>
    <s v="Item3001ProductGJ"/>
    <x v="2"/>
    <s v="ProductGJ"/>
    <x v="4"/>
    <s v="Branch A"/>
    <s v="RED"/>
    <s v="ROSE"/>
    <n v="20"/>
    <s v="NOS"/>
    <n v="64"/>
    <n v="1280"/>
    <s v="INR"/>
    <n v="0.18"/>
    <n v="33013091"/>
    <n v="230"/>
    <s v="Sadashiv Shirsat"/>
    <s v="60 DAYS"/>
    <s v="By Vessel"/>
    <x v="8"/>
  </r>
  <r>
    <x v="0"/>
    <s v="GST/2223/098"/>
    <d v="2022-12-28T00:00:00"/>
    <d v="2020-10-24T00:00:00"/>
    <s v="SOF2020147"/>
    <s v="C0403"/>
    <x v="68"/>
    <x v="3"/>
    <x v="2"/>
    <s v="Oil &amp; Gas"/>
    <x v="0"/>
    <x v="1"/>
    <s v="Gujrat"/>
    <s v="Vadodara"/>
    <s v="Item2004ProductFA"/>
    <x v="4"/>
    <s v="ProductFA"/>
    <x v="2"/>
    <s v="Branch C"/>
    <s v="YELLOW"/>
    <s v="ROSE"/>
    <n v="70"/>
    <s v="NOS"/>
    <n v="950"/>
    <n v="66500"/>
    <s v="INR"/>
    <n v="0.18"/>
    <n v="33030050"/>
    <n v="11970"/>
    <s v="Sandeep Kunde"/>
    <s v="60 DAYS"/>
    <s v="By Road"/>
    <x v="2"/>
  </r>
  <r>
    <x v="0"/>
    <s v="GST/2223/099"/>
    <d v="2023-01-02T00:00:00"/>
    <d v="2020-10-28T00:00:00"/>
    <s v="SOF2020148"/>
    <s v="C0402"/>
    <x v="69"/>
    <x v="0"/>
    <x v="0"/>
    <s v="MEP / PMC"/>
    <x v="1"/>
    <x v="3"/>
    <s v="Uttar Pradesh"/>
    <s v="Noida"/>
    <s v="Item2004ProductZX"/>
    <x v="4"/>
    <s v="ProductZX"/>
    <x v="3"/>
    <s v="Branch D"/>
    <s v="BLUE"/>
    <s v="SUNFLOWER"/>
    <n v="10"/>
    <s v="NOS"/>
    <n v="100"/>
    <n v="1000"/>
    <s v="INR"/>
    <n v="0.18"/>
    <n v="33051010"/>
    <n v="180"/>
    <s v="Nikesh Dave"/>
    <s v="90 DAYS"/>
    <s v="By Road"/>
    <x v="8"/>
  </r>
  <r>
    <x v="0"/>
    <s v="GST/2223/100"/>
    <d v="2023-03-04T00:00:00"/>
    <d v="2020-10-29T00:00:00"/>
    <s v="SOF2020149"/>
    <s v="C0401"/>
    <x v="70"/>
    <x v="1"/>
    <x v="1"/>
    <s v="IT"/>
    <x v="2"/>
    <x v="0"/>
    <s v="Madhya Pradesh"/>
    <s v="Bhopal"/>
    <s v="Item2003ProductZA"/>
    <x v="4"/>
    <s v="ProductZA"/>
    <x v="3"/>
    <s v="Branch A"/>
    <s v="PINK"/>
    <s v="LOTUS"/>
    <n v="140"/>
    <s v="NOS"/>
    <n v="70"/>
    <n v="9800"/>
    <s v="INR"/>
    <n v="0.18"/>
    <n v="33059090"/>
    <n v="1760"/>
    <s v="Rajesh Uttarde"/>
    <s v="100% AGAINST PI"/>
    <s v="By Air"/>
    <x v="0"/>
  </r>
  <r>
    <x v="0"/>
    <s v="GST/2223/101"/>
    <d v="2023-01-05T00:00:00"/>
    <d v="2020-10-29T00:00:00"/>
    <s v="SOF2020150"/>
    <s v="C0400"/>
    <x v="71"/>
    <x v="1"/>
    <x v="4"/>
    <s v="Other Industries"/>
    <x v="0"/>
    <x v="4"/>
    <s v="Delhi"/>
    <s v="New Delhi"/>
    <s v="Item2003ProductPZ"/>
    <x v="4"/>
    <s v="ProductPZ"/>
    <x v="0"/>
    <s v="Branch B"/>
    <s v="GREEN"/>
    <s v="ROSE"/>
    <n v="20"/>
    <s v="NOS"/>
    <n v="310"/>
    <n v="6200"/>
    <s v="INR"/>
    <n v="0.18"/>
    <n v="33049930"/>
    <n v="1120"/>
    <s v="Sunil Yadav"/>
    <s v="30% ADV &amp; 70% AGAINST PI"/>
    <s v="By Road"/>
    <x v="1"/>
  </r>
  <r>
    <x v="0"/>
    <s v="GST/2223/102"/>
    <d v="2023-01-05T00:00:00"/>
    <d v="2020-10-29T00:00:00"/>
    <s v="SOF2020151"/>
    <s v="C0405"/>
    <x v="72"/>
    <x v="2"/>
    <x v="2"/>
    <s v="Commercial Establishment"/>
    <x v="0"/>
    <x v="1"/>
    <s v="Haryana"/>
    <s v="Ambala"/>
    <s v="Item2003ProductPD"/>
    <x v="4"/>
    <s v="ProductPD"/>
    <x v="0"/>
    <s v="Branch C"/>
    <s v="RED"/>
    <s v="LOTUS"/>
    <n v="30"/>
    <s v="NOS"/>
    <n v="281"/>
    <n v="8430"/>
    <s v="INR"/>
    <n v="0.18"/>
    <n v="33041000"/>
    <n v="1520"/>
    <s v="Sadashiv Shirsat"/>
    <s v="100% AGAINST DELIVERY"/>
    <s v="By Air"/>
    <x v="6"/>
  </r>
  <r>
    <x v="0"/>
    <s v="GST/2223/103"/>
    <d v="2023-01-06T00:00:00"/>
    <d v="2020-10-29T00:00:00"/>
    <s v="SOF2020152"/>
    <s v="C0412"/>
    <x v="73"/>
    <x v="4"/>
    <x v="4"/>
    <s v="Railways"/>
    <x v="1"/>
    <x v="0"/>
    <s v="Andhra Pradesh"/>
    <s v="Vijaywada"/>
    <s v="Item2003ProductPA"/>
    <x v="4"/>
    <s v="ProductPA"/>
    <x v="4"/>
    <s v="Branch A"/>
    <s v="RED"/>
    <s v="ROSE"/>
    <n v="40"/>
    <s v="NOS"/>
    <n v="82"/>
    <n v="3260"/>
    <s v="INR"/>
    <n v="0.18"/>
    <n v="33071010"/>
    <n v="590"/>
    <s v="B. Karthikeyan"/>
    <s v="30 DAYS"/>
    <s v="By Vessel"/>
    <x v="3"/>
  </r>
  <r>
    <x v="0"/>
    <s v="GST/2223/104"/>
    <d v="2023-01-01T00:00:00"/>
    <d v="2020-11-02T00:00:00"/>
    <s v="SOF2020153"/>
    <s v="C0411"/>
    <x v="74"/>
    <x v="3"/>
    <x v="0"/>
    <s v="Power"/>
    <x v="0"/>
    <x v="4"/>
    <s v="Karnataka"/>
    <s v="Mysore"/>
    <s v="Item2002ProductLQ"/>
    <x v="4"/>
    <s v="ProductLQ"/>
    <x v="4"/>
    <s v="Branch B"/>
    <s v="YELLOW"/>
    <s v="LOTUS"/>
    <n v="30"/>
    <s v="NOS"/>
    <n v="1758"/>
    <n v="52730"/>
    <s v="INR"/>
    <n v="0.18"/>
    <n v="33030050"/>
    <n v="9490"/>
    <s v="Ravindra Shah"/>
    <s v="45 DAYS"/>
    <s v="By Road"/>
    <x v="7"/>
  </r>
  <r>
    <x v="0"/>
    <s v="GST/2223/105"/>
    <d v="2023-01-02T00:00:00"/>
    <d v="2020-11-03T00:00:00"/>
    <s v="SOF2020154"/>
    <s v="C0410"/>
    <x v="75"/>
    <x v="0"/>
    <x v="1"/>
    <s v="Oil &amp; Gas"/>
    <x v="0"/>
    <x v="1"/>
    <s v="Jharkhand"/>
    <s v="Hazaribagh"/>
    <s v="Item2002ProductLN"/>
    <x v="4"/>
    <s v="ProductLN"/>
    <x v="4"/>
    <s v="Branch C"/>
    <s v="BLUE"/>
    <s v="ROSE"/>
    <n v="20"/>
    <s v="NOS"/>
    <n v="71"/>
    <n v="1430"/>
    <s v="INR"/>
    <n v="0.18"/>
    <n v="33013091"/>
    <n v="260"/>
    <s v="Vishal Patil"/>
    <s v="60 DAYS"/>
    <s v="By Air"/>
    <x v="4"/>
  </r>
  <r>
    <x v="0"/>
    <s v="GST/2223/106"/>
    <d v="2023-01-03T00:00:00"/>
    <d v="2020-11-04T00:00:00"/>
    <s v="SOF2020155"/>
    <s v="C0409"/>
    <x v="76"/>
    <x v="1"/>
    <x v="2"/>
    <s v="MEP / PMC"/>
    <x v="0"/>
    <x v="3"/>
    <s v="Kerala"/>
    <s v="Kozikode"/>
    <s v="Item2002ProductLM"/>
    <x v="4"/>
    <s v="ProductLM"/>
    <x v="0"/>
    <s v="Branch D"/>
    <s v="PINK"/>
    <s v="SUNFLOWER"/>
    <n v="20"/>
    <s v="NOS"/>
    <n v="20900"/>
    <n v="418000"/>
    <s v="INR"/>
    <n v="0.18"/>
    <n v="33012948"/>
    <n v="75240"/>
    <s v="Pramod Patange"/>
    <s v="90 DAYS"/>
    <s v="By Vessel"/>
    <x v="2"/>
  </r>
  <r>
    <x v="0"/>
    <s v="GST/2223/107"/>
    <d v="2023-01-04T00:00:00"/>
    <d v="2020-11-05T00:00:00"/>
    <s v="SOF2020156"/>
    <s v="C0408"/>
    <x v="77"/>
    <x v="2"/>
    <x v="3"/>
    <s v="IT"/>
    <x v="1"/>
    <x v="0"/>
    <s v="Punjab"/>
    <s v="Chandigarh"/>
    <s v="Item2001ProductEG"/>
    <x v="4"/>
    <s v="ProductEG"/>
    <x v="1"/>
    <s v="Branch A"/>
    <s v="GREEN"/>
    <s v="LILY"/>
    <n v="10"/>
    <s v="NOS"/>
    <n v="75000"/>
    <n v="750000"/>
    <s v="INR"/>
    <n v="0.18"/>
    <n v="33013091"/>
    <n v="135000"/>
    <s v="Gaurav Hinge"/>
    <s v="100% AGAINST PI"/>
    <s v="By Road"/>
    <x v="8"/>
  </r>
  <r>
    <x v="0"/>
    <s v="GST/2223/108"/>
    <d v="2023-01-05T00:00:00"/>
    <d v="2020-11-06T00:00:00"/>
    <s v="SOF2020157"/>
    <s v="C0407"/>
    <x v="78"/>
    <x v="4"/>
    <x v="4"/>
    <s v="Other Industries"/>
    <x v="0"/>
    <x v="4"/>
    <s v="Rajasthan"/>
    <s v="Jaipur"/>
    <s v="Item2001ProductEF"/>
    <x v="4"/>
    <s v="ProductEF"/>
    <x v="1"/>
    <s v="Branch B"/>
    <s v="RED"/>
    <s v="LOTUS"/>
    <n v="20"/>
    <s v="NOS"/>
    <n v="6550"/>
    <n v="131000"/>
    <s v="INR"/>
    <n v="0.18"/>
    <n v="33012948"/>
    <n v="23580"/>
    <s v="Sadashiv Shirsat"/>
    <s v="60 DAYS"/>
    <s v="By Air"/>
    <x v="0"/>
  </r>
  <r>
    <x v="0"/>
    <s v="GST/2223/111"/>
    <d v="2023-01-03T00:00:00"/>
    <d v="2020-11-09T00:00:00"/>
    <s v="SOF2020160"/>
    <s v="C0416"/>
    <x v="79"/>
    <x v="1"/>
    <x v="2"/>
    <s v="Steel Plant"/>
    <x v="0"/>
    <x v="2"/>
    <s v="West Bengal"/>
    <s v="Howrah"/>
    <s v="Item1005ProductDB"/>
    <x v="0"/>
    <s v="ProductDB"/>
    <x v="1"/>
    <s v="Branch E"/>
    <s v="RED"/>
    <s v="LILY"/>
    <n v="20"/>
    <s v="NOS"/>
    <n v="5700"/>
    <n v="114000"/>
    <s v="INR"/>
    <n v="0.18"/>
    <n v="33049930"/>
    <n v="20520"/>
    <s v="Vishal Patil"/>
    <s v="30% ADV &amp; 70% AGAINST PI"/>
    <s v="By Road"/>
    <x v="3"/>
  </r>
  <r>
    <x v="0"/>
    <s v="GST/2223/112"/>
    <d v="2023-01-08T00:00:00"/>
    <d v="2020-11-09T00:00:00"/>
    <s v="SOF2020161"/>
    <s v="C0415"/>
    <x v="80"/>
    <x v="2"/>
    <x v="2"/>
    <s v="Power"/>
    <x v="1"/>
    <x v="0"/>
    <s v="Andhra Pradesh"/>
    <s v="Vijaywada"/>
    <s v="Item1005ProductDC"/>
    <x v="0"/>
    <s v="ProductDC"/>
    <x v="2"/>
    <s v="Branch A"/>
    <s v="YELLOW"/>
    <s v="LOTUS"/>
    <n v="210"/>
    <s v="NOS"/>
    <n v="110"/>
    <n v="23140"/>
    <s v="INR"/>
    <n v="0.18"/>
    <n v="33041000"/>
    <n v="4160"/>
    <s v="Pramod Patange"/>
    <s v="100% AGAINST DELIVERY"/>
    <s v="By Air"/>
    <x v="0"/>
  </r>
  <r>
    <x v="0"/>
    <s v="GST/2223/113"/>
    <d v="2023-01-08T00:00:00"/>
    <d v="2020-11-09T00:00:00"/>
    <s v="SOF2020162"/>
    <s v="C0414"/>
    <x v="81"/>
    <x v="4"/>
    <x v="1"/>
    <s v="Oil &amp; Gas"/>
    <x v="0"/>
    <x v="4"/>
    <s v="Assam"/>
    <s v="Guwahati"/>
    <s v="Item1005ProductDE"/>
    <x v="0"/>
    <s v="ProductDE"/>
    <x v="3"/>
    <s v="Branch B"/>
    <s v="BLUE"/>
    <s v="ROSE"/>
    <n v="20"/>
    <s v="NOS"/>
    <n v="6195"/>
    <n v="123900"/>
    <s v="INR"/>
    <n v="0.18"/>
    <n v="33071010"/>
    <n v="22300"/>
    <s v="Gaurav Hinge"/>
    <s v="30 DAYS"/>
    <s v="By Vessel"/>
    <x v="1"/>
  </r>
  <r>
    <x v="0"/>
    <s v="GST/2223/115"/>
    <d v="2023-01-12T00:00:00"/>
    <d v="2020-11-13T00:00:00"/>
    <s v="SOF2020164"/>
    <s v="C0423"/>
    <x v="82"/>
    <x v="0"/>
    <x v="0"/>
    <s v="IT"/>
    <x v="2"/>
    <x v="3"/>
    <s v="Gujrat"/>
    <s v="Vadodara"/>
    <s v="Item1004ProductCD"/>
    <x v="0"/>
    <s v="ProductCD"/>
    <x v="0"/>
    <s v="Branch D"/>
    <s v="GREEN"/>
    <s v="LOTUS"/>
    <n v="180"/>
    <s v="NOS"/>
    <n v="220"/>
    <n v="39600"/>
    <s v="INR"/>
    <n v="0.18"/>
    <n v="33051010"/>
    <n v="7130"/>
    <s v="B. Karthikeyan"/>
    <s v="60 DAYS"/>
    <s v="By Road"/>
    <x v="3"/>
  </r>
  <r>
    <x v="0"/>
    <s v="GST/2223/118"/>
    <d v="2023-01-19T00:00:00"/>
    <d v="2020-11-14T00:00:00"/>
    <s v="SOF2020167"/>
    <s v="C0420"/>
    <x v="83"/>
    <x v="4"/>
    <x v="3"/>
    <s v="Railways"/>
    <x v="1"/>
    <x v="1"/>
    <s v="Delhi"/>
    <s v="New Delhi"/>
    <s v="Item1004ProductCC"/>
    <x v="0"/>
    <s v="ProductCC"/>
    <x v="1"/>
    <s v="Branch C"/>
    <s v="YELLOW"/>
    <s v="ROSE"/>
    <n v="30"/>
    <s v="NOS"/>
    <n v="146"/>
    <n v="4390"/>
    <s v="INR"/>
    <n v="0.18"/>
    <n v="33041000"/>
    <n v="790"/>
    <s v="Pramod Patange"/>
    <s v="30% ADV &amp; 70% AGAINST PI"/>
    <s v="By Vessel"/>
    <x v="2"/>
  </r>
  <r>
    <x v="0"/>
    <s v="GST/2223/120"/>
    <d v="2023-01-01T00:00:00"/>
    <d v="2020-11-17T00:00:00"/>
    <s v="SOF2020169"/>
    <s v="C0418"/>
    <x v="84"/>
    <x v="0"/>
    <x v="0"/>
    <s v="Defence"/>
    <x v="1"/>
    <x v="2"/>
    <s v="Andhra Pradesh"/>
    <s v="Vijaywada"/>
    <s v="Item1004ProductCA"/>
    <x v="0"/>
    <s v="ProductCA"/>
    <x v="1"/>
    <s v="Branch E"/>
    <s v="PINK"/>
    <s v="ROSE"/>
    <n v="10"/>
    <s v="NOS"/>
    <n v="170"/>
    <n v="1700"/>
    <s v="INR"/>
    <n v="0.18"/>
    <n v="33030050"/>
    <n v="310"/>
    <s v="Pankaj Sawant"/>
    <s v="30 DAYS"/>
    <s v="By Vessel"/>
    <x v="0"/>
  </r>
  <r>
    <x v="0"/>
    <s v="GST/2223/122"/>
    <d v="2023-01-22T00:00:00"/>
    <d v="2020-11-17T00:00:00"/>
    <s v="SOF2020171"/>
    <s v="C0436"/>
    <x v="85"/>
    <x v="2"/>
    <x v="0"/>
    <s v="Fire Protection "/>
    <x v="0"/>
    <x v="0"/>
    <s v="Jharkhand"/>
    <s v="Jamshedpur"/>
    <s v="Item1003ProductBD"/>
    <x v="0"/>
    <s v="ProductBD"/>
    <x v="1"/>
    <s v="Branch A"/>
    <s v="YELLOW"/>
    <s v="LILY"/>
    <n v="10"/>
    <s v="NOS"/>
    <n v="3600"/>
    <n v="36000"/>
    <s v="INR"/>
    <n v="0.18"/>
    <n v="33012948"/>
    <n v="6480"/>
    <s v="Nikesh Dave"/>
    <s v="60 DAYS"/>
    <s v="By Air"/>
    <x v="6"/>
  </r>
  <r>
    <x v="0"/>
    <s v="GST/2223/123"/>
    <d v="2023-01-26T00:00:00"/>
    <d v="2020-11-21T00:00:00"/>
    <s v="SOF2020172"/>
    <s v="C0435"/>
    <x v="86"/>
    <x v="4"/>
    <x v="1"/>
    <s v="Shipping"/>
    <x v="1"/>
    <x v="0"/>
    <s v="Kerala"/>
    <s v="Kozikode"/>
    <s v="Item5004ProductQQ"/>
    <x v="1"/>
    <s v="ProductQQ"/>
    <x v="2"/>
    <s v="Branch A"/>
    <s v="BLUE"/>
    <s v="LOTUS"/>
    <n v="10"/>
    <s v="LOT"/>
    <n v="3600"/>
    <n v="36000"/>
    <s v="INR"/>
    <n v="0.18"/>
    <n v="33013091"/>
    <n v="6480"/>
    <s v="Rajesh Uttarde"/>
    <s v="90 DAYS"/>
    <s v="By Air"/>
    <x v="3"/>
  </r>
  <r>
    <x v="0"/>
    <s v="GST/2223/125"/>
    <d v="2023-02-14T00:00:00"/>
    <d v="2020-12-10T00:00:00"/>
    <s v="SOF2020185"/>
    <s v="C0444"/>
    <x v="87"/>
    <x v="2"/>
    <x v="2"/>
    <s v="IT"/>
    <x v="0"/>
    <x v="0"/>
    <s v="Karnataka"/>
    <s v="Mysore"/>
    <s v="Item1001ProductAA"/>
    <x v="0"/>
    <s v="ProductAA"/>
    <x v="2"/>
    <s v="Branch A"/>
    <s v="GREEN"/>
    <s v="ROSE"/>
    <n v="10"/>
    <s v="NOS"/>
    <n v="810"/>
    <n v="8100"/>
    <s v="INR"/>
    <n v="0.18"/>
    <n v="33049930"/>
    <n v="1460"/>
    <s v="Nikesh Dave"/>
    <s v="90 DAYS"/>
    <s v="By Road"/>
    <x v="1"/>
  </r>
  <r>
    <x v="0"/>
    <s v="GST/2223/126"/>
    <d v="2023-02-15T00:00:00"/>
    <d v="2020-12-11T00:00:00"/>
    <s v="SOF2020186"/>
    <s v="C0446"/>
    <x v="88"/>
    <x v="4"/>
    <x v="3"/>
    <s v="Other Industries"/>
    <x v="1"/>
    <x v="4"/>
    <s v="Karnataka"/>
    <s v="Banglore"/>
    <s v="Item1001ProductAB"/>
    <x v="0"/>
    <s v="ProductAB"/>
    <x v="3"/>
    <s v="Branch B"/>
    <s v="WHITE"/>
    <s v="LOTUS"/>
    <n v="10"/>
    <s v="NOS"/>
    <n v="1615"/>
    <n v="16150"/>
    <s v="INR"/>
    <n v="0.18"/>
    <n v="33041000"/>
    <n v="2910"/>
    <s v="Rajesh Uttarde"/>
    <s v="100% AGAINST PI"/>
    <s v="By Air"/>
    <x v="6"/>
  </r>
  <r>
    <x v="0"/>
    <s v="GST/2223/127"/>
    <d v="2023-02-16T00:00:00"/>
    <d v="2020-12-12T00:00:00"/>
    <s v="SOF2020187"/>
    <s v="C0447"/>
    <x v="89"/>
    <x v="3"/>
    <x v="4"/>
    <s v="Commercial Establishment"/>
    <x v="0"/>
    <x v="1"/>
    <s v="Karnataka"/>
    <s v="Banglore"/>
    <s v="Item1001ProductAC"/>
    <x v="0"/>
    <s v="ProductAC"/>
    <x v="3"/>
    <s v="Branch C"/>
    <s v="RED"/>
    <s v="LOTUS"/>
    <n v="10"/>
    <s v="NOS"/>
    <n v="764"/>
    <n v="7640"/>
    <s v="INR"/>
    <n v="0.18"/>
    <n v="33071010"/>
    <n v="1380"/>
    <s v="Sunil Yadav"/>
    <s v="30% ADV &amp; 70% AGAINST PI"/>
    <s v="By Vessel"/>
    <x v="3"/>
  </r>
  <r>
    <x v="0"/>
    <s v="GST/2223/128"/>
    <d v="2023-02-17T00:00:00"/>
    <d v="2020-12-13T00:00:00"/>
    <s v="SOF2020188"/>
    <s v="C0449"/>
    <x v="90"/>
    <x v="0"/>
    <x v="4"/>
    <s v="Railways"/>
    <x v="0"/>
    <x v="3"/>
    <s v="Karnataka"/>
    <s v="Banglore"/>
    <s v="Item5001ProductTA"/>
    <x v="1"/>
    <s v="ProductTA"/>
    <x v="0"/>
    <s v="Branch D"/>
    <s v="RED"/>
    <s v="ROSE"/>
    <n v="10"/>
    <s v="NOS"/>
    <n v="18620"/>
    <n v="186200"/>
    <s v="INR"/>
    <n v="0.18"/>
    <n v="33030050"/>
    <n v="33520"/>
    <s v="Sadashiv Shirsat"/>
    <s v="30 DAYS"/>
    <s v="By Road"/>
    <x v="7"/>
  </r>
  <r>
    <x v="1"/>
    <s v="GST/2324/005"/>
    <d v="2023-04-25T00:00:00"/>
    <d v="2021-02-17T00:00:00"/>
    <s v="SOA2020057"/>
    <s v="C0016"/>
    <x v="91"/>
    <x v="4"/>
    <x v="4"/>
    <s v="MEP / PMC"/>
    <x v="0"/>
    <x v="3"/>
    <s v="Andhra Pradesh"/>
    <s v="Kadapa"/>
    <s v="Item1001ProductAA"/>
    <x v="0"/>
    <s v="ProductAA"/>
    <x v="0"/>
    <s v="Branch D"/>
    <s v="GREEN"/>
    <s v="ROSE"/>
    <n v="30"/>
    <s v="NOS"/>
    <n v="1200"/>
    <n v="36000"/>
    <s v="INR"/>
    <n v="0.18"/>
    <n v="33049930"/>
    <n v="6480"/>
    <s v="Ravindra Shah"/>
    <s v="45 DAYS"/>
    <s v="By Vessel"/>
    <x v="6"/>
  </r>
  <r>
    <x v="1"/>
    <s v="GST/2324/006"/>
    <d v="2023-04-26T00:00:00"/>
    <d v="2021-02-17T00:00:00"/>
    <s v="SOA2020058"/>
    <s v="C0017"/>
    <x v="6"/>
    <x v="3"/>
    <x v="0"/>
    <s v="IT"/>
    <x v="1"/>
    <x v="2"/>
    <s v="Karnataka"/>
    <s v="Banglore"/>
    <s v="Item5005ProductVV"/>
    <x v="1"/>
    <s v="ProductVV"/>
    <x v="1"/>
    <s v="Branch E"/>
    <s v="RED"/>
    <s v="LOTUS"/>
    <n v="20"/>
    <s v="NOS"/>
    <n v="700"/>
    <n v="14000"/>
    <s v="INR"/>
    <n v="0.18"/>
    <n v="33051010"/>
    <n v="2520"/>
    <s v="Ravindra Shah"/>
    <s v="60 DAYS"/>
    <s v="By Vessel"/>
    <x v="3"/>
  </r>
  <r>
    <x v="1"/>
    <s v="GST/2324/007"/>
    <d v="2023-04-27T00:00:00"/>
    <d v="2021-02-17T00:00:00"/>
    <s v="SOA2020059"/>
    <s v="C0018"/>
    <x v="92"/>
    <x v="1"/>
    <x v="1"/>
    <s v="Other Industries"/>
    <x v="0"/>
    <x v="0"/>
    <s v="Jharkhand"/>
    <s v="Dhanbad"/>
    <s v="Item5005ProductSS"/>
    <x v="1"/>
    <s v="ProductSS"/>
    <x v="1"/>
    <s v="Branch A"/>
    <s v="YELLOW"/>
    <s v="LOTUS"/>
    <n v="30"/>
    <s v="NOS"/>
    <n v="180"/>
    <n v="5400"/>
    <s v="INR"/>
    <n v="0.18"/>
    <n v="33059090"/>
    <n v="970"/>
    <s v="Ravindra Shah"/>
    <s v="90 DAYS"/>
    <s v="By Vessel"/>
    <x v="7"/>
  </r>
  <r>
    <x v="1"/>
    <s v="GST/2324/008"/>
    <d v="2023-05-07T00:00:00"/>
    <d v="2021-02-26T00:00:00"/>
    <s v="SOA2020060"/>
    <s v="C0022"/>
    <x v="10"/>
    <x v="0"/>
    <x v="4"/>
    <s v="Power"/>
    <x v="2"/>
    <x v="0"/>
    <s v="Tamilnadu"/>
    <s v="Madurai"/>
    <s v="Item1005ProductDB"/>
    <x v="0"/>
    <s v="ProductDB"/>
    <x v="2"/>
    <s v="Branch A"/>
    <s v="BLUE"/>
    <s v="LOTUS"/>
    <n v="20"/>
    <s v="NOS"/>
    <n v="75"/>
    <n v="1510"/>
    <s v="INR"/>
    <n v="0.18"/>
    <n v="33030050"/>
    <n v="270"/>
    <s v="Vishal Patil"/>
    <s v="30 DAYS"/>
    <s v="By Air"/>
    <x v="0"/>
  </r>
  <r>
    <x v="1"/>
    <s v="GST/2324/009"/>
    <d v="2023-04-16T00:00:00"/>
    <d v="2021-02-27T00:00:00"/>
    <s v="SOA2020061"/>
    <s v="C0024"/>
    <x v="93"/>
    <x v="0"/>
    <x v="2"/>
    <s v="MEP / PMC"/>
    <x v="1"/>
    <x v="1"/>
    <s v="Assam"/>
    <s v="Guwahati"/>
    <s v="Item5004ProductLL"/>
    <x v="1"/>
    <s v="ProductLL"/>
    <x v="3"/>
    <s v="Branch C"/>
    <s v="PINK"/>
    <s v="ROSE"/>
    <n v="10"/>
    <s v="NOS"/>
    <n v="240"/>
    <n v="2400"/>
    <s v="INR"/>
    <n v="0.18"/>
    <n v="33071010"/>
    <n v="430"/>
    <s v="Pramod Patange"/>
    <s v="60 DAYS"/>
    <s v="By Road"/>
    <x v="1"/>
  </r>
  <r>
    <x v="1"/>
    <s v="GST/2324/010"/>
    <d v="2023-04-29T00:00:00"/>
    <d v="2021-03-07T00:00:00"/>
    <s v="SOS2020033"/>
    <s v="C0031"/>
    <x v="14"/>
    <x v="4"/>
    <x v="2"/>
    <s v="Coal &amp; Mines"/>
    <x v="2"/>
    <x v="1"/>
    <s v="Delhi"/>
    <s v="New Delhi"/>
    <s v="Item1004ProductCA"/>
    <x v="0"/>
    <s v="ProductCA"/>
    <x v="1"/>
    <s v="Branch C"/>
    <s v="YELLOW"/>
    <s v="SUNFLOWER"/>
    <n v="70"/>
    <s v="NOS"/>
    <n v="45"/>
    <n v="3140"/>
    <s v="INR"/>
    <n v="0.18"/>
    <n v="33049930"/>
    <n v="560"/>
    <s v="B. Karthikeyan"/>
    <s v="30 DAYS"/>
    <s v="By Road"/>
    <x v="4"/>
  </r>
  <r>
    <x v="1"/>
    <s v="GST/2324/011"/>
    <d v="2023-05-11T00:00:00"/>
    <d v="2021-03-08T00:00:00"/>
    <s v="SOS2020034"/>
    <s v="C0032"/>
    <x v="15"/>
    <x v="3"/>
    <x v="4"/>
    <s v="Fire Protection "/>
    <x v="0"/>
    <x v="3"/>
    <s v="Haryana"/>
    <s v="Panipat"/>
    <s v="Item1004ProductCC"/>
    <x v="0"/>
    <s v="ProductCC"/>
    <x v="1"/>
    <s v="Branch D"/>
    <s v="BLUE"/>
    <s v="LOTUS"/>
    <n v="60"/>
    <s v="NOS"/>
    <n v="17"/>
    <n v="1000"/>
    <s v="INR"/>
    <n v="0.18"/>
    <n v="33041000"/>
    <n v="180"/>
    <s v="Ravindra Shah"/>
    <s v="45 DAYS"/>
    <s v="By Air"/>
    <x v="2"/>
  </r>
  <r>
    <x v="1"/>
    <s v="GST/2324/012"/>
    <d v="2023-06-08T00:00:00"/>
    <d v="2021-03-09T00:00:00"/>
    <s v="SOS2020035"/>
    <s v="C0033"/>
    <x v="94"/>
    <x v="4"/>
    <x v="0"/>
    <s v="Shipping"/>
    <x v="1"/>
    <x v="2"/>
    <s v="Andhra Pradesh"/>
    <s v="Kakinada"/>
    <s v="Item5003ProductKK"/>
    <x v="1"/>
    <s v="ProductKK"/>
    <x v="1"/>
    <s v="Branch E"/>
    <s v="PINK"/>
    <s v="ROSE"/>
    <n v="60"/>
    <s v="NOS"/>
    <n v="1008"/>
    <n v="60480"/>
    <s v="INR"/>
    <n v="0.18"/>
    <n v="33071010"/>
    <n v="10890"/>
    <s v="Vishal Patil"/>
    <s v="60 DAYS"/>
    <s v="By Vessel"/>
    <x v="8"/>
  </r>
  <r>
    <x v="1"/>
    <s v="GST/2324/013"/>
    <d v="2023-05-18T00:00:00"/>
    <d v="2021-03-10T00:00:00"/>
    <s v="SOS2020036"/>
    <s v="C0034"/>
    <x v="95"/>
    <x v="3"/>
    <x v="1"/>
    <s v="Aviation"/>
    <x v="2"/>
    <x v="0"/>
    <s v="Karnataka"/>
    <s v="Banglore"/>
    <s v="Item5002ProductZp"/>
    <x v="1"/>
    <s v="ProductZp"/>
    <x v="1"/>
    <s v="Branch A"/>
    <s v="GREEN"/>
    <s v="LOTUS"/>
    <n v="60"/>
    <s v="NOS"/>
    <n v="46"/>
    <n v="2770"/>
    <s v="INR"/>
    <n v="0.18"/>
    <n v="33030050"/>
    <n v="500"/>
    <s v="Pankaj Sawant"/>
    <s v="90 DAYS"/>
    <s v="By Road"/>
    <x v="0"/>
  </r>
  <r>
    <x v="1"/>
    <s v="GST/2324/014"/>
    <d v="2023-07-13T00:00:00"/>
    <d v="2021-03-11T00:00:00"/>
    <s v="SOS2020037"/>
    <s v="C0037"/>
    <x v="16"/>
    <x v="0"/>
    <x v="2"/>
    <s v="Power"/>
    <x v="0"/>
    <x v="4"/>
    <s v="Jharkhand"/>
    <s v="Jamshedpur"/>
    <s v="Item5002ProductZI"/>
    <x v="1"/>
    <s v="ProductZI"/>
    <x v="1"/>
    <s v="Branch B"/>
    <s v="WHITE"/>
    <s v="ROSE"/>
    <n v="60"/>
    <s v="NOS"/>
    <n v="70"/>
    <n v="4200"/>
    <s v="INR"/>
    <n v="0.18"/>
    <n v="33013091"/>
    <n v="760"/>
    <s v="Sandeep Kunde"/>
    <s v="100% AGAINST PI"/>
    <s v="By Air"/>
    <x v="1"/>
  </r>
  <r>
    <x v="1"/>
    <s v="GST/2324/017"/>
    <d v="2023-05-22T00:00:00"/>
    <d v="2021-03-14T00:00:00"/>
    <s v="SOS2020040"/>
    <s v="C0046"/>
    <x v="40"/>
    <x v="2"/>
    <x v="4"/>
    <s v="IT"/>
    <x v="0"/>
    <x v="2"/>
    <s v="Maharashtra"/>
    <s v="Nashik"/>
    <s v="Item5003ProductFF"/>
    <x v="1"/>
    <s v="ProductFF"/>
    <x v="3"/>
    <s v="Branch E"/>
    <s v="BLUE"/>
    <s v="SUNFLOWER"/>
    <n v="10"/>
    <s v="KG"/>
    <n v="120"/>
    <n v="1200"/>
    <s v="INR"/>
    <n v="0.18"/>
    <n v="33012948"/>
    <n v="220"/>
    <s v="Rajesh Uttarde"/>
    <s v="30 DAYS"/>
    <s v="By Air"/>
    <x v="7"/>
  </r>
  <r>
    <x v="1"/>
    <s v="GST/2324/018"/>
    <d v="2023-05-01T00:00:00"/>
    <d v="2021-03-15T00:00:00"/>
    <s v="SOS2020041"/>
    <s v="C0053"/>
    <x v="96"/>
    <x v="0"/>
    <x v="4"/>
    <s v="Other Industries"/>
    <x v="0"/>
    <x v="0"/>
    <s v="Gujrat"/>
    <s v="Vadodara"/>
    <s v="Item5002ProductVA"/>
    <x v="1"/>
    <s v="ProductVA"/>
    <x v="0"/>
    <s v="Branch A"/>
    <s v="PINK"/>
    <s v="LOTUS"/>
    <n v="10"/>
    <s v="SET"/>
    <n v="300"/>
    <n v="3000"/>
    <s v="INR"/>
    <n v="0.18"/>
    <n v="33051010"/>
    <n v="540"/>
    <s v="Sadashiv Shirsat"/>
    <s v="45 DAYS"/>
    <s v="By Vessel"/>
    <x v="4"/>
  </r>
  <r>
    <x v="1"/>
    <s v="GST/2324/019"/>
    <d v="2023-05-02T00:00:00"/>
    <d v="2021-03-16T00:00:00"/>
    <s v="SOS2020042"/>
    <s v="C0054"/>
    <x v="97"/>
    <x v="1"/>
    <x v="2"/>
    <s v="Commercial Establishment"/>
    <x v="0"/>
    <x v="4"/>
    <s v="Uttar Pradesh"/>
    <s v="Kanpur"/>
    <s v="Item5001ProductLT"/>
    <x v="1"/>
    <s v="ProductLT"/>
    <x v="0"/>
    <s v="Branch B"/>
    <s v="GREEN"/>
    <s v="ROSE"/>
    <n v="10"/>
    <s v="SET"/>
    <n v="732"/>
    <n v="7320"/>
    <s v="INR"/>
    <n v="0.18"/>
    <n v="33059090"/>
    <n v="1320"/>
    <s v="B. Karthikeyan"/>
    <s v="60 DAYS"/>
    <s v="By Road"/>
    <x v="2"/>
  </r>
  <r>
    <x v="1"/>
    <s v="GST/2324/020"/>
    <d v="2023-05-03T00:00:00"/>
    <d v="2021-03-17T00:00:00"/>
    <s v="SOS2020043"/>
    <s v="C0048"/>
    <x v="17"/>
    <x v="0"/>
    <x v="2"/>
    <s v="Railways"/>
    <x v="1"/>
    <x v="1"/>
    <s v="Madhya Pradesh"/>
    <s v="Bhopal"/>
    <s v="Item5001ProductTA"/>
    <x v="1"/>
    <s v="ProductTA"/>
    <x v="4"/>
    <s v="Branch C"/>
    <s v="RED"/>
    <s v="SUNFLOWER"/>
    <n v="10"/>
    <s v="SET"/>
    <n v="390"/>
    <n v="3900"/>
    <s v="INR"/>
    <n v="0.18"/>
    <n v="33049930"/>
    <n v="700"/>
    <s v="B. Karthikeyan"/>
    <s v="90 DAYS"/>
    <s v="By Air"/>
    <x v="8"/>
  </r>
  <r>
    <x v="1"/>
    <s v="GST/2324/024"/>
    <d v="2023-05-19T00:00:00"/>
    <d v="2021-04-18T00:00:00"/>
    <s v="SOS2021063"/>
    <s v="C0128"/>
    <x v="98"/>
    <x v="0"/>
    <x v="0"/>
    <s v="Other Industries"/>
    <x v="0"/>
    <x v="3"/>
    <s v="Andhra Pradesh"/>
    <s v="Vijaywada"/>
    <s v="Item1004ProductCC"/>
    <x v="0"/>
    <s v="ProductCC"/>
    <x v="1"/>
    <s v="Branch D"/>
    <s v="YELLOW"/>
    <s v="LOTUS"/>
    <n v="2340"/>
    <s v="NOS"/>
    <n v="44492"/>
    <n v="104110160"/>
    <s v="INR"/>
    <n v="0.18"/>
    <n v="33051010"/>
    <n v="18739830"/>
    <s v="Pramod Patange"/>
    <s v="100% AGAINST PI"/>
    <s v="By Road"/>
    <x v="7"/>
  </r>
  <r>
    <x v="1"/>
    <s v="GST/2324/025"/>
    <d v="2023-05-20T00:00:00"/>
    <d v="2021-04-19T00:00:00"/>
    <s v="SOS2021064"/>
    <s v="C0132"/>
    <x v="52"/>
    <x v="1"/>
    <x v="1"/>
    <s v="Commercial Establishment"/>
    <x v="1"/>
    <x v="0"/>
    <s v="Karnataka"/>
    <s v="Banglore"/>
    <s v="Item2004ProductZX"/>
    <x v="4"/>
    <s v="ProductZX"/>
    <x v="1"/>
    <s v="Branch A"/>
    <s v="BLUE"/>
    <s v="ROSE"/>
    <n v="2180"/>
    <s v="NOS"/>
    <n v="964"/>
    <n v="2101520"/>
    <s v="INR"/>
    <n v="0.18"/>
    <n v="33059090"/>
    <n v="378270"/>
    <s v="Pankaj Sawant"/>
    <s v="60 DAYS"/>
    <s v="By Road"/>
    <x v="4"/>
  </r>
  <r>
    <x v="1"/>
    <s v="GST/2324/026"/>
    <d v="2023-05-21T00:00:00"/>
    <d v="2021-04-20T00:00:00"/>
    <s v="SOS2021065"/>
    <s v="C0135"/>
    <x v="99"/>
    <x v="1"/>
    <x v="4"/>
    <s v="Defence"/>
    <x v="1"/>
    <x v="3"/>
    <s v="Punjab"/>
    <s v="Chandigarh"/>
    <s v="Item3003ProductAl"/>
    <x v="2"/>
    <s v="ProductAl"/>
    <x v="2"/>
    <s v="Branch D"/>
    <s v="PINK"/>
    <s v="LOTUS"/>
    <n v="20"/>
    <s v="NOS"/>
    <n v="54"/>
    <n v="1080"/>
    <s v="INR"/>
    <n v="0.18"/>
    <n v="33049930"/>
    <n v="190"/>
    <s v="Sandeep Kunde"/>
    <s v="90 DAYS"/>
    <s v="By Road"/>
    <x v="2"/>
  </r>
  <r>
    <x v="1"/>
    <s v="GST/2324/027"/>
    <d v="2023-06-12T00:00:00"/>
    <d v="2021-04-26T00:00:00"/>
    <s v="SOF2021202"/>
    <s v="C0139"/>
    <x v="100"/>
    <x v="2"/>
    <x v="2"/>
    <s v="Aviation"/>
    <x v="2"/>
    <x v="1"/>
    <s v="Assam"/>
    <s v="Guwahati"/>
    <s v="Item3004ProductBN"/>
    <x v="2"/>
    <s v="ProductBN"/>
    <x v="0"/>
    <s v="Branch C"/>
    <s v="PINK"/>
    <s v="LOTUS"/>
    <n v="2180"/>
    <s v="NOS"/>
    <n v="7"/>
    <n v="16130"/>
    <s v="INR"/>
    <n v="0.18"/>
    <n v="33051010"/>
    <n v="2900"/>
    <s v="Ravindra Shah"/>
    <s v="60 DAYS"/>
    <s v="By Air"/>
    <x v="0"/>
  </r>
  <r>
    <x v="1"/>
    <s v="GST/2324/030"/>
    <d v="2023-06-04T00:00:00"/>
    <d v="2021-04-29T00:00:00"/>
    <s v="SOF2021205"/>
    <s v="C0143"/>
    <x v="101"/>
    <x v="2"/>
    <x v="0"/>
    <s v="MEP / PMC"/>
    <x v="0"/>
    <x v="0"/>
    <s v="Goa"/>
    <s v="Ponda"/>
    <s v="Item3004ProductPR"/>
    <x v="2"/>
    <s v="ProductPR"/>
    <x v="4"/>
    <s v="Branch A"/>
    <s v="BLUE"/>
    <s v="LOTUS"/>
    <n v="20"/>
    <s v="NOS"/>
    <n v="55"/>
    <n v="1100"/>
    <s v="INR"/>
    <n v="0.18"/>
    <n v="33041000"/>
    <n v="200"/>
    <s v="Sandeep Kunde"/>
    <s v="30% ADV &amp; 70% AGAINST PI"/>
    <s v="By Air"/>
    <x v="3"/>
  </r>
  <r>
    <x v="1"/>
    <s v="GST/2324/031"/>
    <d v="2023-06-14T00:00:00"/>
    <d v="2021-05-04T00:00:00"/>
    <s v="SOF2021021"/>
    <s v="C0145"/>
    <x v="102"/>
    <x v="0"/>
    <x v="0"/>
    <s v="Steel Plant"/>
    <x v="0"/>
    <x v="0"/>
    <s v="Maharashtra"/>
    <s v="Mumbai"/>
    <s v="Item2003ProductPD"/>
    <x v="4"/>
    <s v="ProductPD"/>
    <x v="4"/>
    <s v="Branch A"/>
    <s v="YELLOW"/>
    <s v="LOTUS"/>
    <n v="10"/>
    <s v="NOS"/>
    <n v="550"/>
    <n v="5500"/>
    <s v="INR"/>
    <n v="0.18"/>
    <n v="33049930"/>
    <n v="990"/>
    <s v="B. Karthikeyan"/>
    <s v="90 DAYS"/>
    <s v="By Air"/>
    <x v="0"/>
  </r>
  <r>
    <x v="1"/>
    <s v="GST/2324/039"/>
    <d v="2023-06-15T00:00:00"/>
    <d v="2021-05-10T00:00:00"/>
    <s v="SOF2021218"/>
    <s v="C0154"/>
    <x v="103"/>
    <x v="0"/>
    <x v="2"/>
    <s v="Oil &amp; Gas"/>
    <x v="0"/>
    <x v="4"/>
    <s v="Karnataka"/>
    <s v="Banglore"/>
    <s v="Item1001ProductAD"/>
    <x v="0"/>
    <s v="ProductAD"/>
    <x v="1"/>
    <s v="Branch B"/>
    <s v="GREEN"/>
    <s v="SUNFLOWER"/>
    <n v="40"/>
    <s v="NOS"/>
    <n v="70"/>
    <n v="2800"/>
    <s v="INR"/>
    <n v="0.18"/>
    <n v="33051010"/>
    <n v="500"/>
    <s v="Rajesh Uttarde"/>
    <s v="45 DAYS"/>
    <s v="By Air"/>
    <x v="5"/>
  </r>
  <r>
    <x v="1"/>
    <s v="GST/2324/040"/>
    <d v="2023-06-27T00:00:00"/>
    <d v="2021-05-16T00:00:00"/>
    <s v="SOF2021222"/>
    <s v="C0159"/>
    <x v="104"/>
    <x v="2"/>
    <x v="2"/>
    <s v="Commercial Establishment"/>
    <x v="1"/>
    <x v="1"/>
    <s v="Karnataka"/>
    <s v="Banglore"/>
    <s v="Item1003ProductBA"/>
    <x v="0"/>
    <s v="ProductBA"/>
    <x v="0"/>
    <s v="Branch C"/>
    <s v="PINK"/>
    <s v="LOTUS"/>
    <n v="60"/>
    <s v="NOS"/>
    <n v="79"/>
    <n v="4740"/>
    <s v="INR"/>
    <n v="0.18"/>
    <n v="33059090"/>
    <n v="850"/>
    <s v="Ravindra Shah"/>
    <s v="30% ADV &amp; 70% AGAINST PI"/>
    <s v="By Vessel"/>
    <x v="3"/>
  </r>
  <r>
    <x v="1"/>
    <s v="GST/2324/041"/>
    <d v="2023-06-29T00:00:00"/>
    <d v="2021-05-17T00:00:00"/>
    <s v="SOF2021223"/>
    <s v="C0163"/>
    <x v="105"/>
    <x v="4"/>
    <x v="3"/>
    <s v="Railways"/>
    <x v="2"/>
    <x v="0"/>
    <s v="Karnataka"/>
    <s v="Banglore"/>
    <s v="Item1003ProductBB"/>
    <x v="0"/>
    <s v="ProductBB"/>
    <x v="0"/>
    <s v="Branch A"/>
    <s v="GREEN"/>
    <s v="LOTUS"/>
    <n v="10"/>
    <s v="NOS"/>
    <n v="9500"/>
    <n v="95000"/>
    <s v="INR"/>
    <n v="0.18"/>
    <n v="33049930"/>
    <n v="17100"/>
    <s v="Vishal Patil"/>
    <s v="100% AGAINST DELIVERY"/>
    <s v="By Road"/>
    <x v="7"/>
  </r>
  <r>
    <x v="1"/>
    <s v="GST/2324/042"/>
    <d v="2023-07-01T00:00:00"/>
    <d v="2021-05-18T00:00:00"/>
    <s v="SOF2021224"/>
    <s v="C0162"/>
    <x v="106"/>
    <x v="3"/>
    <x v="4"/>
    <s v="Steel Plant"/>
    <x v="0"/>
    <x v="4"/>
    <s v="Karnataka"/>
    <s v="Banglore"/>
    <s v="Item1003ProductBC"/>
    <x v="0"/>
    <s v="ProductBC"/>
    <x v="4"/>
    <s v="Branch B"/>
    <s v="WHITE"/>
    <s v="ROSE"/>
    <n v="10"/>
    <s v="NOS"/>
    <n v="64178"/>
    <n v="641780"/>
    <s v="INR"/>
    <n v="0.18"/>
    <n v="33041000"/>
    <n v="115520"/>
    <s v="Pramod Patange"/>
    <s v="30 DAYS"/>
    <s v="By Air"/>
    <x v="4"/>
  </r>
  <r>
    <x v="1"/>
    <s v="GST/2324/043"/>
    <d v="2023-07-14T00:00:00"/>
    <d v="2021-05-19T00:00:00"/>
    <s v="SOF2021225"/>
    <s v="C0161"/>
    <x v="107"/>
    <x v="0"/>
    <x v="0"/>
    <s v="Defence"/>
    <x v="1"/>
    <x v="1"/>
    <s v="Haryana"/>
    <s v="Gurgaon"/>
    <s v="Item1003ProductBD"/>
    <x v="0"/>
    <s v="ProductBD"/>
    <x v="4"/>
    <s v="Branch C"/>
    <s v="RED"/>
    <s v="LOTUS"/>
    <n v="10"/>
    <s v="NOS"/>
    <n v="2450"/>
    <n v="24500"/>
    <s v="INR"/>
    <n v="0.18"/>
    <n v="33071010"/>
    <n v="4410"/>
    <s v="Gaurav Hinge"/>
    <s v="45 DAYS"/>
    <s v="By Vessel"/>
    <x v="2"/>
  </r>
  <r>
    <x v="1"/>
    <s v="GST/2324/044"/>
    <d v="2023-07-07T00:00:00"/>
    <d v="2021-05-19T00:00:00"/>
    <s v="SOF2021226"/>
    <s v="C0160"/>
    <x v="108"/>
    <x v="1"/>
    <x v="1"/>
    <s v="Coal &amp; Mines"/>
    <x v="2"/>
    <x v="0"/>
    <s v="Haryana"/>
    <s v="Gurgaon"/>
    <s v="Item1004ProductCA"/>
    <x v="0"/>
    <s v="ProductCA"/>
    <x v="4"/>
    <s v="Branch A"/>
    <s v="RED"/>
    <s v="ROSE"/>
    <n v="200"/>
    <s v="NOS"/>
    <n v="2520"/>
    <n v="504060"/>
    <s v="INR"/>
    <n v="0.18"/>
    <n v="33030050"/>
    <n v="90730"/>
    <s v="Sadashiv Shirsat"/>
    <s v="60 DAYS"/>
    <s v="By Road"/>
    <x v="8"/>
  </r>
  <r>
    <x v="1"/>
    <s v="GST/2324/045"/>
    <d v="2023-07-08T00:00:00"/>
    <d v="2021-05-19T00:00:00"/>
    <s v="SOF2021227"/>
    <s v="C0164"/>
    <x v="109"/>
    <x v="2"/>
    <x v="0"/>
    <s v="Power"/>
    <x v="0"/>
    <x v="4"/>
    <s v="Haryana"/>
    <s v="Gurgaon"/>
    <s v="Item2001ProductEF"/>
    <x v="4"/>
    <s v="ProductEF"/>
    <x v="4"/>
    <s v="Branch B"/>
    <s v="RED"/>
    <s v="LOTUS"/>
    <n v="240"/>
    <s v="NOS"/>
    <n v="550"/>
    <n v="132000"/>
    <s v="INR"/>
    <n v="0.18"/>
    <n v="33051010"/>
    <n v="23760"/>
    <s v="B. Karthikeyan"/>
    <s v="90 DAYS"/>
    <s v="By Road"/>
    <x v="0"/>
  </r>
  <r>
    <x v="1"/>
    <s v="GST/2324/046"/>
    <d v="2023-07-09T00:00:00"/>
    <d v="2021-05-19T00:00:00"/>
    <s v="SOF2021228"/>
    <s v="C0168"/>
    <x v="110"/>
    <x v="4"/>
    <x v="1"/>
    <s v="Oil &amp; Gas"/>
    <x v="0"/>
    <x v="1"/>
    <s v="Maharashtra"/>
    <s v="Mumbai"/>
    <s v="Item1001ProductAC"/>
    <x v="0"/>
    <s v="ProductAC"/>
    <x v="0"/>
    <s v="Branch C"/>
    <s v="YELLOW"/>
    <s v="ROSE"/>
    <n v="240"/>
    <s v="NOS"/>
    <n v="8"/>
    <n v="1920"/>
    <s v="INR"/>
    <n v="0.18"/>
    <n v="33059090"/>
    <n v="350"/>
    <s v="Ravindra Shah"/>
    <s v="100% AGAINST PI"/>
    <s v="By Road"/>
    <x v="1"/>
  </r>
  <r>
    <x v="1"/>
    <s v="GST/2324/047"/>
    <d v="2023-07-15T00:00:00"/>
    <d v="2021-05-23T00:00:00"/>
    <s v="SOF2021229"/>
    <s v="C0167"/>
    <x v="111"/>
    <x v="3"/>
    <x v="0"/>
    <s v="MEP / PMC"/>
    <x v="1"/>
    <x v="3"/>
    <s v="Gujrat"/>
    <s v="Ahmedabad"/>
    <s v="Item1001ProductAB"/>
    <x v="0"/>
    <s v="ProductAB"/>
    <x v="1"/>
    <s v="Branch D"/>
    <s v="BLUE"/>
    <s v="SUNFLOWER"/>
    <n v="240"/>
    <s v="NOS"/>
    <n v="8"/>
    <n v="1920"/>
    <s v="INR"/>
    <n v="0.18"/>
    <n v="33049930"/>
    <n v="350"/>
    <s v="Vishal Patil"/>
    <s v="60 DAYS"/>
    <s v="By Road"/>
    <x v="6"/>
  </r>
  <r>
    <x v="1"/>
    <s v="GST/2324/048"/>
    <d v="2023-07-18T00:00:00"/>
    <d v="2021-05-24T00:00:00"/>
    <s v="SOF2021230"/>
    <s v="C0166"/>
    <x v="112"/>
    <x v="0"/>
    <x v="1"/>
    <s v="IT"/>
    <x v="0"/>
    <x v="2"/>
    <s v="Uttar Pradesh"/>
    <s v="Agra"/>
    <s v="Item1001ProductAA"/>
    <x v="0"/>
    <s v="ProductAA"/>
    <x v="1"/>
    <s v="Branch E"/>
    <s v="PINK"/>
    <s v="LILY"/>
    <n v="240"/>
    <s v="NOS"/>
    <n v="5"/>
    <n v="1200"/>
    <s v="INR"/>
    <n v="0.18"/>
    <n v="33041000"/>
    <n v="220"/>
    <s v="Pramod Patange"/>
    <s v="90 DAYS"/>
    <s v="By Vessel"/>
    <x v="3"/>
  </r>
  <r>
    <x v="1"/>
    <s v="GST/2324/049"/>
    <d v="2023-07-10T00:00:00"/>
    <d v="2021-05-25T00:00:00"/>
    <s v="SOF2021231"/>
    <s v="C0165"/>
    <x v="113"/>
    <x v="1"/>
    <x v="0"/>
    <s v="Other Industries"/>
    <x v="0"/>
    <x v="0"/>
    <s v="Madhya Pradesh"/>
    <s v="Indore"/>
    <s v="Item5005ProductSS"/>
    <x v="1"/>
    <s v="ProductSS"/>
    <x v="1"/>
    <s v="Branch A"/>
    <s v="GREEN"/>
    <s v="LOTUS"/>
    <n v="200"/>
    <s v="NOS"/>
    <n v="180"/>
    <n v="36000"/>
    <s v="INR"/>
    <n v="0.18"/>
    <n v="33071010"/>
    <n v="6480"/>
    <s v="Gaurav Hinge"/>
    <s v="100% AGAINST PI"/>
    <s v="By Vessel"/>
    <x v="0"/>
  </r>
  <r>
    <x v="1"/>
    <s v="GST/2324/050"/>
    <d v="2023-07-09T00:00:00"/>
    <d v="2021-06-09T00:00:00"/>
    <s v="SOF2021246"/>
    <s v="C0183"/>
    <x v="114"/>
    <x v="3"/>
    <x v="1"/>
    <s v="Commercial Establishment"/>
    <x v="1"/>
    <x v="2"/>
    <s v="Maharashtra"/>
    <s v="Mumbai"/>
    <s v="Item5003ProductKK"/>
    <x v="1"/>
    <s v="ProductKK"/>
    <x v="1"/>
    <s v="Branch E"/>
    <s v="RED"/>
    <s v="ROSE"/>
    <n v="10"/>
    <s v="NOS"/>
    <n v="1530"/>
    <n v="15300"/>
    <s v="INR"/>
    <n v="0.18"/>
    <n v="33041000"/>
    <n v="2750"/>
    <s v="Vishal Patil"/>
    <s v="60 DAYS"/>
    <s v="By Road"/>
    <x v="0"/>
  </r>
  <r>
    <x v="1"/>
    <s v="GST/2324/051"/>
    <d v="2023-07-10T00:00:00"/>
    <d v="2021-06-10T00:00:00"/>
    <s v="SOF2021247"/>
    <s v="C0184"/>
    <x v="115"/>
    <x v="0"/>
    <x v="2"/>
    <s v="Railways"/>
    <x v="2"/>
    <x v="0"/>
    <s v="Gujrat"/>
    <s v="Ahmedabad"/>
    <s v="Item5003ProductFF"/>
    <x v="1"/>
    <s v="ProductFF"/>
    <x v="1"/>
    <s v="Branch A"/>
    <s v="YELLOW"/>
    <s v="SUNFLOWER"/>
    <n v="10"/>
    <s v="NOS"/>
    <n v="8176"/>
    <n v="81760"/>
    <s v="INR"/>
    <n v="0.18"/>
    <n v="33071010"/>
    <n v="14720"/>
    <s v="Pankaj Sawant"/>
    <s v="90 DAYS"/>
    <s v="By Air"/>
    <x v="1"/>
  </r>
  <r>
    <x v="1"/>
    <s v="GST/2324/052"/>
    <d v="2023-07-11T00:00:00"/>
    <d v="2021-06-11T00:00:00"/>
    <s v="SOF2021248"/>
    <s v="C0262"/>
    <x v="116"/>
    <x v="4"/>
    <x v="0"/>
    <s v="MEP / PMC"/>
    <x v="0"/>
    <x v="4"/>
    <s v="Andhra Pradesh"/>
    <s v="Kakinada"/>
    <s v="Item5003ProductMA"/>
    <x v="1"/>
    <s v="ProductMA"/>
    <x v="1"/>
    <s v="Branch B"/>
    <s v="BLUE"/>
    <s v="LILY"/>
    <n v="10"/>
    <s v="NOS"/>
    <n v="970"/>
    <n v="9700"/>
    <s v="INR"/>
    <n v="0.18"/>
    <n v="33030050"/>
    <n v="1750"/>
    <s v="Sandeep Kunde"/>
    <s v="100% AGAINST PI"/>
    <s v="By Vessel"/>
    <x v="6"/>
  </r>
  <r>
    <x v="1"/>
    <s v="GST/2324/053"/>
    <d v="2023-07-23T00:00:00"/>
    <d v="2021-06-12T00:00:00"/>
    <s v="SOF2021249"/>
    <s v="C0263"/>
    <x v="117"/>
    <x v="3"/>
    <x v="1"/>
    <s v="IT"/>
    <x v="1"/>
    <x v="1"/>
    <s v="Karnataka"/>
    <s v="Banglore"/>
    <s v="Item5003ProductLP"/>
    <x v="1"/>
    <s v="ProductLP"/>
    <x v="2"/>
    <s v="Branch C"/>
    <s v="PINK"/>
    <s v="LOTUS"/>
    <n v="10"/>
    <s v="NOS"/>
    <n v="1525"/>
    <n v="15250"/>
    <s v="INR"/>
    <n v="0.18"/>
    <n v="33051010"/>
    <n v="2750"/>
    <s v="Nikesh Dave"/>
    <s v="30% ADV &amp; 70% AGAINST PI"/>
    <s v="By Road"/>
    <x v="3"/>
  </r>
  <r>
    <x v="1"/>
    <s v="GST/2324/054"/>
    <d v="2023-07-15T00:00:00"/>
    <d v="2021-06-13T00:00:00"/>
    <s v="SOF2021250"/>
    <s v="C0265"/>
    <x v="118"/>
    <x v="0"/>
    <x v="2"/>
    <s v="Other Industries"/>
    <x v="2"/>
    <x v="3"/>
    <s v="Jharkhand"/>
    <s v="Hazaribagh"/>
    <s v="Item5002ProductZI"/>
    <x v="1"/>
    <s v="ProductZI"/>
    <x v="3"/>
    <s v="Branch D"/>
    <s v="GREEN"/>
    <s v="ROSE"/>
    <n v="10"/>
    <s v="NOS"/>
    <n v="985"/>
    <n v="9850"/>
    <s v="INR"/>
    <n v="0.18"/>
    <n v="33059090"/>
    <n v="1770"/>
    <s v="Rajesh Uttarde"/>
    <s v="30 DAYS"/>
    <s v="By Air"/>
    <x v="7"/>
  </r>
  <r>
    <x v="1"/>
    <s v="GST/2324/055"/>
    <d v="2023-07-17T00:00:00"/>
    <d v="2021-06-14T00:00:00"/>
    <s v="SOF2021251"/>
    <s v="C0264"/>
    <x v="119"/>
    <x v="1"/>
    <x v="3"/>
    <s v="Commercial Establishment"/>
    <x v="0"/>
    <x v="0"/>
    <s v="Kerala"/>
    <s v="Kochi"/>
    <s v="Item5002ProductZp"/>
    <x v="1"/>
    <s v="ProductZp"/>
    <x v="3"/>
    <s v="Branch A"/>
    <s v="WHITE"/>
    <s v="LOTUS"/>
    <n v="10"/>
    <s v="NOS"/>
    <n v="200"/>
    <n v="2000"/>
    <s v="INR"/>
    <n v="0.18"/>
    <n v="33049930"/>
    <n v="360"/>
    <s v="Sunil Yadav"/>
    <s v="45 DAYS"/>
    <s v="By Vessel"/>
    <x v="4"/>
  </r>
  <r>
    <x v="1"/>
    <s v="GST/2324/056"/>
    <d v="2023-07-25T00:00:00"/>
    <d v="2021-06-15T00:00:00"/>
    <s v="SOF2021252"/>
    <s v="C0266"/>
    <x v="120"/>
    <x v="2"/>
    <x v="4"/>
    <s v="Railways"/>
    <x v="1"/>
    <x v="4"/>
    <s v="Punjab"/>
    <s v="Chandigarh"/>
    <s v="Item5002ProductVA"/>
    <x v="1"/>
    <s v="ProductVA"/>
    <x v="0"/>
    <s v="Branch B"/>
    <s v="RED"/>
    <s v="LOTUS"/>
    <n v="10"/>
    <s v="NOS"/>
    <n v="112682"/>
    <n v="1126820"/>
    <s v="INR"/>
    <n v="0.18"/>
    <n v="33041000"/>
    <n v="202830"/>
    <s v="Sadashiv Shirsat"/>
    <s v="60 DAYS"/>
    <s v="By Road"/>
    <x v="2"/>
  </r>
  <r>
    <x v="1"/>
    <s v="GST/2324/057"/>
    <d v="2023-07-23T00:00:00"/>
    <d v="2021-06-16T00:00:00"/>
    <s v="SOF2021253"/>
    <s v="C0269"/>
    <x v="121"/>
    <x v="4"/>
    <x v="0"/>
    <s v="Steel Plant"/>
    <x v="0"/>
    <x v="1"/>
    <s v="Rajasthan"/>
    <s v="Jaipur"/>
    <s v="Item5001ProductLT"/>
    <x v="1"/>
    <s v="ProductLT"/>
    <x v="0"/>
    <s v="Branch C"/>
    <s v="YELLOW"/>
    <s v="ROSE"/>
    <n v="10"/>
    <s v="NOS"/>
    <n v="251"/>
    <n v="2510"/>
    <s v="INR"/>
    <n v="0.18"/>
    <n v="33071010"/>
    <n v="450"/>
    <s v="B. Karthikeyan"/>
    <s v="90 DAYS"/>
    <s v="By Road"/>
    <x v="8"/>
  </r>
  <r>
    <x v="1"/>
    <s v="GST/2324/058"/>
    <d v="2023-08-12T00:00:00"/>
    <d v="2021-06-17T00:00:00"/>
    <s v="SOF2021254"/>
    <s v="C0268"/>
    <x v="122"/>
    <x v="3"/>
    <x v="1"/>
    <s v="Defence"/>
    <x v="1"/>
    <x v="0"/>
    <s v="Tamilnadu"/>
    <s v="Chennai"/>
    <s v="Item5001ProductTA"/>
    <x v="1"/>
    <s v="ProductTA"/>
    <x v="4"/>
    <s v="Branch A"/>
    <s v="BLUE"/>
    <s v="LOTUS"/>
    <n v="10"/>
    <s v="NOS"/>
    <n v="12475"/>
    <n v="124750"/>
    <s v="INR"/>
    <n v="0.18"/>
    <n v="33030050"/>
    <n v="22450"/>
    <s v="Ravindra Shah"/>
    <s v="100% AGAINST PI"/>
    <s v="By Air"/>
    <x v="0"/>
  </r>
  <r>
    <x v="1"/>
    <s v="GST/2324/059"/>
    <d v="2023-07-23T00:00:00"/>
    <d v="2021-06-18T00:00:00"/>
    <s v="SOF2021255"/>
    <s v="C0270"/>
    <x v="123"/>
    <x v="1"/>
    <x v="1"/>
    <s v="Fire Protection "/>
    <x v="1"/>
    <x v="1"/>
    <s v="Assam"/>
    <s v="Guwahati"/>
    <s v="Item5001ProductUT"/>
    <x v="1"/>
    <s v="ProductUT"/>
    <x v="4"/>
    <s v="Branch C"/>
    <s v="PINK"/>
    <s v="ROSE"/>
    <n v="10"/>
    <s v="NOS"/>
    <n v="16992"/>
    <n v="169920"/>
    <s v="INR"/>
    <n v="0.18"/>
    <n v="33013091"/>
    <n v="30590"/>
    <s v="Vishal Patil"/>
    <s v="30% ADV &amp; 70% AGAINST PI"/>
    <s v="By Vessel"/>
    <x v="1"/>
  </r>
  <r>
    <x v="1"/>
    <s v="GST/2324/060"/>
    <d v="2023-10-10T00:00:00"/>
    <d v="2021-06-20T00:00:00"/>
    <s v="SOF2021256"/>
    <s v="C0271"/>
    <x v="124"/>
    <x v="2"/>
    <x v="0"/>
    <s v="Shipping"/>
    <x v="2"/>
    <x v="3"/>
    <s v="Andhra Pradesh"/>
    <s v="Vijaywada"/>
    <s v="Item4005ProductRH"/>
    <x v="3"/>
    <s v="ProductRH"/>
    <x v="0"/>
    <s v="Branch D"/>
    <s v="YELLOW"/>
    <s v="ROSE"/>
    <n v="10"/>
    <s v="NOS"/>
    <n v="212"/>
    <n v="2120"/>
    <s v="INR"/>
    <n v="0.18"/>
    <n v="33051010"/>
    <n v="380"/>
    <s v="Gaurav Hinge"/>
    <s v="30 DAYS"/>
    <s v="By Road"/>
    <x v="3"/>
  </r>
  <r>
    <x v="1"/>
    <s v="GST/2324/061"/>
    <d v="2023-07-27T00:00:00"/>
    <d v="2021-06-21T00:00:00"/>
    <s v="SOF2021257"/>
    <s v="C0276"/>
    <x v="125"/>
    <x v="4"/>
    <x v="1"/>
    <s v="Aviation"/>
    <x v="0"/>
    <x v="0"/>
    <s v="Maharashtra"/>
    <s v="Pune"/>
    <s v="Item4005ProductRQ"/>
    <x v="3"/>
    <s v="ProductRQ"/>
    <x v="0"/>
    <s v="Branch A"/>
    <s v="BLUE"/>
    <s v="SUNFLOWER"/>
    <n v="10"/>
    <s v="NOS"/>
    <n v="6883"/>
    <n v="68830"/>
    <s v="INR"/>
    <n v="0.18"/>
    <n v="33059090"/>
    <n v="12390"/>
    <s v="Pankaj Sawant"/>
    <s v="45 DAYS"/>
    <s v="By Road"/>
    <x v="0"/>
  </r>
  <r>
    <x v="1"/>
    <s v="GST/2324/062"/>
    <d v="2023-10-24T00:00:00"/>
    <d v="2021-06-22T00:00:00"/>
    <s v="SOF2021258"/>
    <s v="C0275"/>
    <x v="126"/>
    <x v="3"/>
    <x v="0"/>
    <s v="Chemical &amp; Fertilizers"/>
    <x v="1"/>
    <x v="4"/>
    <s v="Gujrat"/>
    <s v="Vadodara"/>
    <s v="Item4004ProductQL"/>
    <x v="3"/>
    <s v="ProductQL"/>
    <x v="1"/>
    <s v="Branch B"/>
    <s v="PINK"/>
    <s v="LILY"/>
    <n v="10"/>
    <s v="NOS"/>
    <n v="6883"/>
    <n v="68830"/>
    <s v="INR"/>
    <n v="0.18"/>
    <n v="33049930"/>
    <n v="12390"/>
    <s v="Sandeep Kunde"/>
    <s v="60 DAYS"/>
    <s v="By Road"/>
    <x v="1"/>
  </r>
  <r>
    <x v="1"/>
    <s v="GST/2324/063"/>
    <d v="2023-07-31T00:00:00"/>
    <d v="2021-06-23T00:00:00"/>
    <s v="SOF2021259"/>
    <s v="C0272"/>
    <x v="127"/>
    <x v="2"/>
    <x v="0"/>
    <s v="MEP / PMC"/>
    <x v="1"/>
    <x v="2"/>
    <s v="Delhi"/>
    <s v="New Delhi"/>
    <s v="Item4005ProductKQ"/>
    <x v="3"/>
    <s v="ProductKQ"/>
    <x v="1"/>
    <s v="Branch E"/>
    <s v="GREEN"/>
    <s v="LOTUS"/>
    <n v="10"/>
    <s v="NOS"/>
    <n v="6883"/>
    <n v="68830"/>
    <s v="INR"/>
    <n v="0.18"/>
    <n v="33041000"/>
    <n v="12390"/>
    <s v="Nikesh Dave"/>
    <s v="90 DAYS"/>
    <s v="By Vessel"/>
    <x v="6"/>
  </r>
  <r>
    <x v="1"/>
    <s v="GST/2324/064"/>
    <d v="2023-08-04T00:00:00"/>
    <d v="2021-06-26T00:00:00"/>
    <s v="SOF2021260"/>
    <s v="C0277"/>
    <x v="128"/>
    <x v="4"/>
    <x v="1"/>
    <s v="IT"/>
    <x v="2"/>
    <x v="0"/>
    <s v="Haryana"/>
    <s v="Panipat"/>
    <s v="Item4003ProductTY"/>
    <x v="3"/>
    <s v="ProductTY"/>
    <x v="1"/>
    <s v="Branch A"/>
    <s v="YELLOW"/>
    <s v="LOTUS"/>
    <n v="10"/>
    <s v="NOS"/>
    <n v="21330"/>
    <n v="213300"/>
    <s v="INR"/>
    <n v="0.18"/>
    <n v="33051010"/>
    <n v="38390"/>
    <s v="Sadashiv Shirsat"/>
    <s v="90 DAYS"/>
    <s v="By Vessel"/>
    <x v="4"/>
  </r>
  <r>
    <x v="1"/>
    <s v="GST/2324/065"/>
    <d v="2023-08-05T00:00:00"/>
    <d v="2021-06-27T00:00:00"/>
    <s v="SOF2021261"/>
    <s v="C0290"/>
    <x v="129"/>
    <x v="2"/>
    <x v="3"/>
    <s v="Oil &amp; Gas"/>
    <x v="1"/>
    <x v="0"/>
    <s v="Gujrat"/>
    <s v="Vadodara"/>
    <s v="Item4004ProductOQ"/>
    <x v="3"/>
    <s v="ProductOQ"/>
    <x v="2"/>
    <s v="Branch A"/>
    <s v="BLUE"/>
    <s v="ROSE"/>
    <n v="10"/>
    <s v="NOS"/>
    <n v="115"/>
    <n v="1150"/>
    <s v="INR"/>
    <n v="0.18"/>
    <n v="33059090"/>
    <n v="210"/>
    <s v="B. Karthikeyan"/>
    <s v="100% AGAINST PI"/>
    <s v="By Air"/>
    <x v="2"/>
  </r>
  <r>
    <x v="1"/>
    <s v="GST/2324/066"/>
    <d v="2023-08-08T00:00:00"/>
    <d v="2021-06-29T00:00:00"/>
    <s v="SOF2021262"/>
    <s v="C0289"/>
    <x v="130"/>
    <x v="4"/>
    <x v="4"/>
    <s v="MEP / PMC"/>
    <x v="0"/>
    <x v="4"/>
    <s v="Uttar Pradesh"/>
    <s v="Noida"/>
    <s v="Item4004ProductQP"/>
    <x v="3"/>
    <s v="ProductQP"/>
    <x v="3"/>
    <s v="Branch B"/>
    <s v="GREEN"/>
    <s v="LOTUS"/>
    <n v="10"/>
    <s v="NOS"/>
    <n v="260"/>
    <n v="2600"/>
    <s v="INR"/>
    <n v="0.18"/>
    <n v="33041000"/>
    <n v="470"/>
    <s v="Vishal Patil"/>
    <s v="30 DAYS"/>
    <s v="By Air"/>
    <x v="0"/>
  </r>
  <r>
    <x v="1"/>
    <s v="GST/2324/067"/>
    <d v="2023-08-09T00:00:00"/>
    <d v="2021-06-30T00:00:00"/>
    <s v="SOF2021263"/>
    <s v="C0293"/>
    <x v="131"/>
    <x v="2"/>
    <x v="4"/>
    <s v="Other Industries"/>
    <x v="2"/>
    <x v="0"/>
    <s v="Delhi"/>
    <s v="New Delhi"/>
    <s v="Item4002ProductVT"/>
    <x v="3"/>
    <s v="ProductVT"/>
    <x v="0"/>
    <s v="Branch A"/>
    <s v="RED"/>
    <s v="ROSE"/>
    <n v="20"/>
    <s v="NOS"/>
    <n v="48000"/>
    <n v="960000"/>
    <s v="INR"/>
    <n v="0.18"/>
    <n v="33012948"/>
    <n v="172800"/>
    <s v="Pramod Patange"/>
    <s v="100% AGAINST PI"/>
    <s v="By Air"/>
    <x v="1"/>
  </r>
  <r>
    <x v="1"/>
    <s v="GST/2324/068"/>
    <d v="2023-08-14T00:00:00"/>
    <d v="2021-07-04T00:00:00"/>
    <s v="SOF2021264"/>
    <s v="C0294"/>
    <x v="132"/>
    <x v="0"/>
    <x v="1"/>
    <s v="Steel Plant"/>
    <x v="0"/>
    <x v="0"/>
    <s v="Karnataka"/>
    <s v="Manglore"/>
    <s v="Item4002ProductVY"/>
    <x v="3"/>
    <s v="ProductVY"/>
    <x v="0"/>
    <s v="Branch A"/>
    <s v="GREEN"/>
    <s v="ROSE"/>
    <n v="20"/>
    <s v="NOS"/>
    <n v="175000"/>
    <n v="3500000"/>
    <s v="INR"/>
    <n v="0.18"/>
    <n v="33013091"/>
    <n v="630000"/>
    <s v="Ravindra Shah"/>
    <s v="30% ADV &amp; 70% AGAINST PI"/>
    <s v="By Road"/>
    <x v="4"/>
  </r>
  <r>
    <x v="1"/>
    <s v="GST/2324/069"/>
    <d v="2023-08-09T00:00:00"/>
    <d v="2021-07-05T00:00:00"/>
    <s v="SOF2021265"/>
    <s v="C0318"/>
    <x v="133"/>
    <x v="1"/>
    <x v="2"/>
    <s v="Commercial Establishment"/>
    <x v="1"/>
    <x v="1"/>
    <s v="Goa"/>
    <s v="Mapusa"/>
    <s v="Item3004ProductBN"/>
    <x v="2"/>
    <s v="ProductBN"/>
    <x v="1"/>
    <s v="Branch C"/>
    <s v="WHITE"/>
    <s v="SUNFLOWER"/>
    <n v="40"/>
    <s v="NOS"/>
    <n v="30000"/>
    <n v="1200000"/>
    <s v="INR"/>
    <n v="0.18"/>
    <n v="33012948"/>
    <n v="216000"/>
    <s v="Vishal Patil"/>
    <s v="100% AGAINST DELIVERY"/>
    <s v="By Air"/>
    <x v="2"/>
  </r>
  <r>
    <x v="1"/>
    <s v="GST/2324/071"/>
    <d v="2023-12-09T00:00:00"/>
    <d v="2021-07-27T00:00:00"/>
    <s v="SOS2021069"/>
    <s v="C0005"/>
    <x v="134"/>
    <x v="2"/>
    <x v="2"/>
    <s v="Chemical &amp; Fertilizers"/>
    <x v="0"/>
    <x v="4"/>
    <s v="Telangana"/>
    <s v="Hyderabad"/>
    <s v="Item3001ProductGJ"/>
    <x v="2"/>
    <s v="ProductGJ"/>
    <x v="0"/>
    <s v="Branch B"/>
    <s v="BLUE"/>
    <s v="ROSE"/>
    <n v="10"/>
    <s v="NOS"/>
    <n v="558"/>
    <n v="5580"/>
    <s v="INR"/>
    <n v="0.18"/>
    <n v="33030050"/>
    <n v="1000"/>
    <s v="Ravindra Shah"/>
    <s v="100% AGAINST PI"/>
    <s v="By Vessel"/>
    <x v="0"/>
  </r>
  <r>
    <x v="1"/>
    <s v="GST/2324/072"/>
    <d v="2023-09-13T00:00:00"/>
    <d v="2021-07-28T00:00:00"/>
    <s v="SOS2021070"/>
    <s v="C0489"/>
    <x v="135"/>
    <x v="0"/>
    <x v="1"/>
    <s v="Fire Protection "/>
    <x v="0"/>
    <x v="2"/>
    <s v="Assam"/>
    <s v="Guwahati"/>
    <s v="Item2004ProductFI"/>
    <x v="4"/>
    <s v="ProductFI"/>
    <x v="4"/>
    <s v="Branch E"/>
    <s v="PINK"/>
    <s v="LOTUS"/>
    <n v="10"/>
    <s v="NOS"/>
    <n v="4095"/>
    <n v="40950"/>
    <s v="INR"/>
    <n v="0.18"/>
    <n v="33051010"/>
    <n v="7370"/>
    <s v="Vishal Patil"/>
    <s v="60 DAYS"/>
    <s v="By Vessel"/>
    <x v="1"/>
  </r>
  <r>
    <x v="1"/>
    <s v="GST/2324/073"/>
    <d v="2023-10-03T00:00:00"/>
    <d v="2021-08-14T00:00:00"/>
    <s v="SOA2021075"/>
    <s v="C0461"/>
    <x v="136"/>
    <x v="2"/>
    <x v="2"/>
    <s v="Defence"/>
    <x v="1"/>
    <x v="4"/>
    <s v="Karnataka"/>
    <s v="Banglore"/>
    <s v="Item2001ProductEA"/>
    <x v="4"/>
    <s v="ProductEA"/>
    <x v="1"/>
    <s v="Branch B"/>
    <s v="BLUE"/>
    <s v="LOTUS"/>
    <n v="400"/>
    <s v="NOS"/>
    <n v="168"/>
    <n v="67100"/>
    <s v="INR"/>
    <n v="0.18"/>
    <n v="33071010"/>
    <n v="12080"/>
    <s v="Vishal Patil"/>
    <s v="60 DAYS"/>
    <s v="By Air"/>
    <x v="6"/>
  </r>
  <r>
    <x v="1"/>
    <s v="GST/2324/074"/>
    <d v="2023-11-01T00:00:00"/>
    <d v="2021-08-15T00:00:00"/>
    <s v="SOA2021076"/>
    <s v="C0460"/>
    <x v="137"/>
    <x v="4"/>
    <x v="2"/>
    <s v="Coal &amp; Mines"/>
    <x v="0"/>
    <x v="1"/>
    <s v="Karnataka"/>
    <s v="Banglore"/>
    <s v="Item2001ProductEE"/>
    <x v="4"/>
    <s v="ProductEE"/>
    <x v="1"/>
    <s v="Branch C"/>
    <s v="PINK"/>
    <s v="ROSE"/>
    <n v="400"/>
    <s v="NOS"/>
    <n v="3689"/>
    <n v="1475760"/>
    <s v="INR"/>
    <n v="0.18"/>
    <n v="33030050"/>
    <n v="265640"/>
    <s v="Pramod Patange"/>
    <s v="90 DAYS"/>
    <s v="By Vessel"/>
    <x v="3"/>
  </r>
  <r>
    <x v="1"/>
    <s v="GST/2324/075"/>
    <d v="2023-10-01T00:00:00"/>
    <d v="2021-08-16T00:00:00"/>
    <s v="SOA2021077"/>
    <s v="C0459"/>
    <x v="138"/>
    <x v="3"/>
    <x v="1"/>
    <s v="Power"/>
    <x v="1"/>
    <x v="0"/>
    <s v="Karnataka"/>
    <s v="Banglore"/>
    <s v="Item2001ProductEF"/>
    <x v="4"/>
    <s v="ProductEF"/>
    <x v="1"/>
    <s v="Branch A"/>
    <s v="GREEN"/>
    <s v="LOTUS"/>
    <n v="450"/>
    <s v="NOS"/>
    <n v="116"/>
    <n v="52160"/>
    <s v="INR"/>
    <n v="0.18"/>
    <n v="33051010"/>
    <n v="9390"/>
    <s v="Gaurav Hinge"/>
    <s v="100% AGAINST PI"/>
    <s v="By Road"/>
    <x v="0"/>
  </r>
  <r>
    <x v="1"/>
    <s v="GST/2324/076"/>
    <d v="2023-10-24T00:00:00"/>
    <d v="2021-08-17T00:00:00"/>
    <s v="SOA2021078"/>
    <s v="C0458"/>
    <x v="139"/>
    <x v="0"/>
    <x v="2"/>
    <s v="Oil &amp; Gas"/>
    <x v="2"/>
    <x v="4"/>
    <s v="Karnataka"/>
    <s v="Banglore"/>
    <s v="Item1005ProductDC"/>
    <x v="0"/>
    <s v="ProductDC"/>
    <x v="1"/>
    <s v="Branch B"/>
    <s v="WHITE"/>
    <s v="ROSE"/>
    <n v="255"/>
    <s v="NOS"/>
    <n v="558"/>
    <n v="142330"/>
    <s v="INR"/>
    <n v="0.18"/>
    <n v="33059090"/>
    <n v="25620"/>
    <s v="Sadashiv Shirsat"/>
    <s v="30% ADV &amp; 70% AGAINST PI"/>
    <s v="By Air"/>
    <x v="1"/>
  </r>
  <r>
    <x v="1"/>
    <s v="GST/2324/077"/>
    <d v="2023-09-22T00:00:00"/>
    <d v="2021-08-18T00:00:00"/>
    <s v="SOA2021079"/>
    <s v="C0457"/>
    <x v="140"/>
    <x v="1"/>
    <x v="0"/>
    <s v="MEP / PMC"/>
    <x v="0"/>
    <x v="1"/>
    <s v="Haryana"/>
    <s v="Faridabad"/>
    <s v="Item1005ProductDB"/>
    <x v="0"/>
    <s v="ProductDB"/>
    <x v="2"/>
    <s v="Branch C"/>
    <s v="RED"/>
    <s v="SUNFLOWER"/>
    <n v="255"/>
    <s v="NOS"/>
    <n v="8424"/>
    <n v="2148120"/>
    <s v="INR"/>
    <n v="0.18"/>
    <n v="33049930"/>
    <n v="386660"/>
    <s v="B. Karthikeyan"/>
    <s v="100% AGAINST DELIVERY"/>
    <s v="By Vessel"/>
    <x v="6"/>
  </r>
  <r>
    <x v="1"/>
    <s v="GST/2324/078"/>
    <d v="2023-09-23T00:00:00"/>
    <d v="2021-08-18T00:00:00"/>
    <s v="SOA2021080"/>
    <s v="C0456"/>
    <x v="141"/>
    <x v="2"/>
    <x v="1"/>
    <s v="IT"/>
    <x v="1"/>
    <x v="3"/>
    <s v="Haryana"/>
    <s v="Faridabad"/>
    <s v="Item1004ProductDA"/>
    <x v="0"/>
    <s v="ProductDA"/>
    <x v="3"/>
    <s v="Branch D"/>
    <s v="YELLOW"/>
    <s v="LOTUS"/>
    <n v="255"/>
    <s v="NOS"/>
    <n v="250"/>
    <n v="63650"/>
    <s v="INR"/>
    <n v="0.18"/>
    <n v="33041000"/>
    <n v="11460"/>
    <s v="Ravindra Shah"/>
    <s v="30 DAYS"/>
    <s v="By Road"/>
    <x v="3"/>
  </r>
  <r>
    <x v="1"/>
    <s v="GST/2324/079"/>
    <d v="2023-09-18T00:00:00"/>
    <d v="2021-08-18T00:00:00"/>
    <s v="SOA2021081"/>
    <s v="C0455"/>
    <x v="142"/>
    <x v="4"/>
    <x v="4"/>
    <s v="Other Industries"/>
    <x v="0"/>
    <x v="0"/>
    <s v="Haryana"/>
    <s v="Faridabad"/>
    <s v="Item1004ProductCD"/>
    <x v="0"/>
    <s v="ProductCD"/>
    <x v="3"/>
    <s v="Branch A"/>
    <s v="BLUE"/>
    <s v="ROSE"/>
    <n v="255"/>
    <s v="NOS"/>
    <n v="2076"/>
    <n v="529380"/>
    <s v="INR"/>
    <n v="0.18"/>
    <n v="33071010"/>
    <n v="95290"/>
    <s v="Vishal Patil"/>
    <s v="45 DAYS"/>
    <s v="By Air"/>
    <x v="7"/>
  </r>
  <r>
    <x v="1"/>
    <s v="GST/2324/080"/>
    <d v="2023-09-24T00:00:00"/>
    <d v="2021-08-18T00:00:00"/>
    <s v="SOA2021082"/>
    <s v="C0454"/>
    <x v="143"/>
    <x v="3"/>
    <x v="2"/>
    <s v="Commercial Establishment"/>
    <x v="1"/>
    <x v="4"/>
    <s v="Maharashtra"/>
    <s v="Mumbai"/>
    <s v="Item1004ProductCB"/>
    <x v="0"/>
    <s v="ProductCB"/>
    <x v="0"/>
    <s v="Branch B"/>
    <s v="PINK"/>
    <s v="SUNFLOWER"/>
    <n v="255"/>
    <s v="SET"/>
    <n v="40"/>
    <n v="10200"/>
    <s v="INR"/>
    <n v="0.18"/>
    <n v="33030050"/>
    <n v="1840"/>
    <s v="Pramod Patange"/>
    <s v="60 DAYS"/>
    <s v="By Vessel"/>
    <x v="4"/>
  </r>
  <r>
    <x v="1"/>
    <s v="GST/2324/081"/>
    <d v="2023-12-05T00:00:00"/>
    <d v="2021-08-18T00:00:00"/>
    <s v="SOA2021083"/>
    <s v="C0453"/>
    <x v="144"/>
    <x v="0"/>
    <x v="4"/>
    <s v="Railways"/>
    <x v="2"/>
    <x v="1"/>
    <s v="Gujrat"/>
    <s v="Surat"/>
    <s v="Item1004ProductCC"/>
    <x v="0"/>
    <s v="ProductCC"/>
    <x v="0"/>
    <s v="Branch C"/>
    <s v="GREEN"/>
    <s v="LILY"/>
    <n v="255"/>
    <s v="SET"/>
    <n v="5220"/>
    <n v="1331100"/>
    <s v="INR"/>
    <n v="0.18"/>
    <n v="33051010"/>
    <n v="239600"/>
    <s v="Gaurav Hinge"/>
    <s v="90 DAYS"/>
    <s v="By Road"/>
    <x v="2"/>
  </r>
  <r>
    <x v="1"/>
    <s v="GST/2324/082"/>
    <d v="2023-09-29T00:00:00"/>
    <d v="2021-08-23T00:00:00"/>
    <s v="SOA2021084"/>
    <s v="C0452"/>
    <x v="145"/>
    <x v="1"/>
    <x v="0"/>
    <s v="Steel Plant"/>
    <x v="2"/>
    <x v="3"/>
    <s v="Uttar Pradesh"/>
    <s v="Varanasi"/>
    <s v="Item1004ProductCA"/>
    <x v="0"/>
    <s v="ProductCA"/>
    <x v="4"/>
    <s v="Branch D"/>
    <s v="RED"/>
    <s v="LOTUS"/>
    <n v="255"/>
    <s v="NOS"/>
    <n v="55"/>
    <n v="13920"/>
    <s v="INR"/>
    <n v="0.18"/>
    <n v="33059090"/>
    <n v="2510"/>
    <s v="Pankaj Sawant"/>
    <s v="100% AGAINST PI"/>
    <s v="By Road"/>
    <x v="8"/>
  </r>
  <r>
    <x v="1"/>
    <s v="GST/2324/083"/>
    <d v="2023-09-24T00:00:00"/>
    <d v="2021-08-24T00:00:00"/>
    <s v="SOA2021085"/>
    <s v="C0451"/>
    <x v="146"/>
    <x v="2"/>
    <x v="1"/>
    <s v="Defence"/>
    <x v="0"/>
    <x v="2"/>
    <s v="Madhya Pradesh"/>
    <s v="Ujjain"/>
    <s v="Item1003ProductBD"/>
    <x v="0"/>
    <s v="ProductBD"/>
    <x v="4"/>
    <s v="Branch E"/>
    <s v="YELLOW"/>
    <s v="ROSE"/>
    <n v="260"/>
    <s v="NOS"/>
    <n v="62"/>
    <n v="16220"/>
    <s v="INR"/>
    <n v="0.18"/>
    <n v="33049930"/>
    <n v="2920"/>
    <s v="Sandeep Kunde"/>
    <s v="30% ADV &amp; 70% AGAINST PI"/>
    <s v="By Road"/>
    <x v="0"/>
  </r>
  <r>
    <x v="1"/>
    <s v="GST/2324/084"/>
    <d v="2023-09-30T00:00:00"/>
    <d v="2021-08-25T00:00:00"/>
    <s v="SOA2021086"/>
    <s v="C0450"/>
    <x v="147"/>
    <x v="2"/>
    <x v="2"/>
    <s v="Coal &amp; Mines"/>
    <x v="1"/>
    <x v="0"/>
    <s v="Delhi"/>
    <s v="New Delhi"/>
    <s v="Item1003ProductBC"/>
    <x v="0"/>
    <s v="ProductBC"/>
    <x v="4"/>
    <s v="Branch A"/>
    <s v="BLUE"/>
    <s v="LOTUS"/>
    <n v="260"/>
    <s v="NOS"/>
    <n v="218"/>
    <n v="56780"/>
    <s v="INR"/>
    <n v="0.18"/>
    <n v="33041000"/>
    <n v="10220"/>
    <s v="Nikesh Dave"/>
    <s v="100% AGAINST DELIVERY"/>
    <s v="By Road"/>
    <x v="1"/>
  </r>
  <r>
    <x v="1"/>
    <s v="GST/2324/085"/>
    <d v="2023-09-29T00:00:00"/>
    <d v="2021-08-26T00:00:00"/>
    <s v="SOA2021087"/>
    <s v="C0374"/>
    <x v="148"/>
    <x v="2"/>
    <x v="1"/>
    <s v="MEP / PMC"/>
    <x v="1"/>
    <x v="3"/>
    <s v="Rajasthan"/>
    <s v="Jaipur"/>
    <s v="Item1002ProductAF"/>
    <x v="0"/>
    <s v="ProductAF"/>
    <x v="0"/>
    <s v="Branch D"/>
    <s v="PINK"/>
    <s v="LOTUS"/>
    <n v="163"/>
    <s v="NOS"/>
    <n v="608"/>
    <n v="99170"/>
    <s v="INR"/>
    <n v="0.18"/>
    <n v="33071010"/>
    <n v="17850"/>
    <s v="Rajesh Uttarde"/>
    <s v="30 DAYS"/>
    <s v="By Vessel"/>
    <x v="6"/>
  </r>
  <r>
    <x v="1"/>
    <s v="GST/2324/086"/>
    <d v="2023-09-30T00:00:00"/>
    <d v="2021-08-27T00:00:00"/>
    <s v="SOA2021088"/>
    <s v="C0373"/>
    <x v="149"/>
    <x v="4"/>
    <x v="0"/>
    <s v="IT"/>
    <x v="2"/>
    <x v="0"/>
    <s v="Tamilnadu"/>
    <s v="Madurai"/>
    <s v="Item1002ProductAG"/>
    <x v="0"/>
    <s v="ProductAG"/>
    <x v="1"/>
    <s v="Branch A"/>
    <s v="GREEN"/>
    <s v="ROSE"/>
    <n v="163"/>
    <s v="NOS"/>
    <n v="585"/>
    <n v="95360"/>
    <s v="INR"/>
    <n v="0.18"/>
    <n v="33030050"/>
    <n v="17160"/>
    <s v="Sunil Yadav"/>
    <s v="45 DAYS"/>
    <s v="By Vessel"/>
    <x v="3"/>
  </r>
  <r>
    <x v="1"/>
    <s v="GST/2324/088"/>
    <d v="2023-09-29T00:00:00"/>
    <d v="2021-08-29T00:00:00"/>
    <s v="SOA2021090"/>
    <s v="C0371"/>
    <x v="150"/>
    <x v="0"/>
    <x v="0"/>
    <s v="Commercial Establishment"/>
    <x v="1"/>
    <x v="1"/>
    <s v="Maharashtra"/>
    <s v="Solapur"/>
    <s v="Item1003ProductBB"/>
    <x v="0"/>
    <s v="ProductBB"/>
    <x v="1"/>
    <s v="Branch C"/>
    <s v="RED"/>
    <s v="ROSE"/>
    <n v="200"/>
    <s v="NOS"/>
    <n v="839"/>
    <n v="167750"/>
    <s v="INR"/>
    <n v="0.18"/>
    <n v="33012948"/>
    <n v="30200"/>
    <s v="B. Karthikeyan"/>
    <s v="90 DAYS"/>
    <s v="By Vessel"/>
    <x v="4"/>
  </r>
  <r>
    <x v="1"/>
    <s v="GST/2324/089"/>
    <d v="2023-10-20T00:00:00"/>
    <d v="2021-08-30T00:00:00"/>
    <s v="SOA2021091"/>
    <s v="C0370"/>
    <x v="151"/>
    <x v="1"/>
    <x v="1"/>
    <s v="Railways"/>
    <x v="0"/>
    <x v="3"/>
    <s v="Gujrat"/>
    <s v="Vadodara"/>
    <s v="Item1001ProductAC"/>
    <x v="0"/>
    <s v="ProductAC"/>
    <x v="1"/>
    <s v="Branch D"/>
    <s v="YELLOW"/>
    <s v="LOTUS"/>
    <n v="20"/>
    <s v="NOS"/>
    <n v="74"/>
    <n v="1480"/>
    <s v="INR"/>
    <n v="0.18"/>
    <n v="33013091"/>
    <n v="270"/>
    <s v="Ravindra Shah"/>
    <s v="100% AGAINST PI"/>
    <s v="By Air"/>
    <x v="2"/>
  </r>
  <r>
    <x v="1"/>
    <s v="GST/2324/090"/>
    <d v="2023-10-01T00:00:00"/>
    <d v="2021-08-31T00:00:00"/>
    <s v="SOA2021092"/>
    <s v="C0369"/>
    <x v="152"/>
    <x v="2"/>
    <x v="0"/>
    <s v="Steel Plant"/>
    <x v="1"/>
    <x v="2"/>
    <s v="Uttar Pradesh"/>
    <s v="Noida"/>
    <s v="Item1001ProductAD"/>
    <x v="0"/>
    <s v="ProductAD"/>
    <x v="0"/>
    <s v="Branch E"/>
    <s v="BLUE"/>
    <s v="ROSE"/>
    <n v="100"/>
    <s v="NOS"/>
    <n v="2399"/>
    <n v="239850"/>
    <s v="INR"/>
    <n v="0.18"/>
    <n v="33012948"/>
    <n v="43170"/>
    <s v="Vishal Patil"/>
    <s v="60 DAYS"/>
    <s v="By Air"/>
    <x v="8"/>
  </r>
  <r>
    <x v="1"/>
    <s v="GST/2324/091"/>
    <d v="2023-10-04T00:00:00"/>
    <d v="2021-09-01T00:00:00"/>
    <s v="SOA2021093"/>
    <s v="C0386"/>
    <x v="153"/>
    <x v="4"/>
    <x v="1"/>
    <s v="Defence"/>
    <x v="2"/>
    <x v="0"/>
    <s v="Madhya Pradesh"/>
    <s v="Bhopal"/>
    <s v="Item1002ProductAE"/>
    <x v="0"/>
    <s v="ProductAE"/>
    <x v="1"/>
    <s v="Branch A"/>
    <s v="PINK"/>
    <s v="SUNFLOWER"/>
    <n v="200"/>
    <s v="NOS"/>
    <n v="480"/>
    <n v="95940"/>
    <s v="INR"/>
    <n v="0.18"/>
    <n v="33051010"/>
    <n v="17270"/>
    <s v="Pankaj Sawant"/>
    <s v="90 DAYS"/>
    <s v="By Air"/>
    <x v="0"/>
  </r>
  <r>
    <x v="1"/>
    <s v="GST/2324/092"/>
    <d v="2023-10-06T00:00:00"/>
    <d v="2021-09-02T00:00:00"/>
    <s v="SOA2021094"/>
    <s v="C0385"/>
    <x v="154"/>
    <x v="3"/>
    <x v="2"/>
    <s v="Coal &amp; Mines"/>
    <x v="2"/>
    <x v="0"/>
    <s v="Delhi"/>
    <s v="New Delhi"/>
    <s v="Item1001ProductAB"/>
    <x v="0"/>
    <s v="ProductAB"/>
    <x v="1"/>
    <s v="Branch A"/>
    <s v="GREEN"/>
    <s v="LILY"/>
    <n v="20"/>
    <s v="NOS"/>
    <n v="1221"/>
    <n v="24410"/>
    <s v="INR"/>
    <n v="0.18"/>
    <n v="33059090"/>
    <n v="4390"/>
    <s v="Sandeep Kunde"/>
    <s v="100% AGAINST PI"/>
    <s v="By Air"/>
    <x v="1"/>
  </r>
  <r>
    <x v="1"/>
    <s v="GST/2324/093"/>
    <d v="2023-10-08T00:00:00"/>
    <d v="2021-09-03T00:00:00"/>
    <s v="SOA2021095"/>
    <s v="C0384"/>
    <x v="155"/>
    <x v="0"/>
    <x v="0"/>
    <s v="Fire Protection "/>
    <x v="0"/>
    <x v="0"/>
    <s v="Haryana"/>
    <s v="Ambala"/>
    <s v="Item5001ProductTA"/>
    <x v="1"/>
    <s v="ProductTA"/>
    <x v="1"/>
    <s v="Branch A"/>
    <s v="WHITE"/>
    <s v="LOTUS"/>
    <n v="80"/>
    <s v="NOS"/>
    <n v="1221"/>
    <n v="97660"/>
    <s v="INR"/>
    <n v="0.18"/>
    <n v="33049930"/>
    <n v="17580"/>
    <s v="Nikesh Dave"/>
    <s v="30% ADV &amp; 70% AGAINST PI"/>
    <s v="By Road"/>
    <x v="6"/>
  </r>
  <r>
    <x v="1"/>
    <s v="GST/2324/094"/>
    <d v="2023-10-09T00:00:00"/>
    <d v="2021-09-03T00:00:00"/>
    <s v="SOA2021096"/>
    <s v="C0383"/>
    <x v="156"/>
    <x v="1"/>
    <x v="1"/>
    <s v="Shipping"/>
    <x v="1"/>
    <x v="0"/>
    <s v="Andhra Pradesh"/>
    <s v="Vijaywada"/>
    <s v="Item5001ProductLT"/>
    <x v="1"/>
    <s v="ProductLT"/>
    <x v="1"/>
    <s v="Branch A"/>
    <s v="RED"/>
    <s v="ROSE"/>
    <n v="10"/>
    <s v="NOS"/>
    <n v="113"/>
    <n v="1130"/>
    <s v="INR"/>
    <n v="0.18"/>
    <n v="33041000"/>
    <n v="200"/>
    <s v="Rajesh Uttarde"/>
    <s v="100% AGAINST DELIVERY"/>
    <s v="By Road"/>
    <x v="3"/>
  </r>
  <r>
    <x v="1"/>
    <s v="GST/2324/095"/>
    <d v="2023-10-10T00:00:00"/>
    <d v="2021-09-03T00:00:00"/>
    <s v="SOA2021097"/>
    <s v="C0382"/>
    <x v="157"/>
    <x v="2"/>
    <x v="2"/>
    <s v="Aviation"/>
    <x v="0"/>
    <x v="0"/>
    <s v="Karnataka"/>
    <s v="Mysore"/>
    <s v="Item1001ProductAA"/>
    <x v="0"/>
    <s v="ProductAA"/>
    <x v="1"/>
    <s v="Branch A"/>
    <s v="RED"/>
    <s v="SUNFLOWER"/>
    <n v="3200"/>
    <s v="NOS"/>
    <n v="1006"/>
    <n v="3219840"/>
    <s v="INR"/>
    <n v="0.18"/>
    <n v="33071010"/>
    <n v="579570"/>
    <s v="Sunil Yadav"/>
    <s v="30 DAYS"/>
    <s v="By Road"/>
    <x v="7"/>
  </r>
  <r>
    <x v="1"/>
    <s v="GST/2324/096"/>
    <d v="2023-11-22T00:00:00"/>
    <d v="2021-09-22T00:00:00"/>
    <s v="SOS2021086"/>
    <s v="C0229"/>
    <x v="158"/>
    <x v="1"/>
    <x v="1"/>
    <s v="Railways"/>
    <x v="0"/>
    <x v="3"/>
    <s v="Rajasthan"/>
    <s v="Jaipur"/>
    <s v="Item4001ProductDF"/>
    <x v="3"/>
    <s v="ProductDF"/>
    <x v="1"/>
    <s v="Branch D"/>
    <s v="BLUE"/>
    <s v="ROSE"/>
    <n v="10"/>
    <s v="MTR"/>
    <n v="1322"/>
    <n v="13220"/>
    <s v="INR"/>
    <n v="0.18"/>
    <n v="33041000"/>
    <n v="2380"/>
    <s v="B. Karthikeyan"/>
    <s v="90 DAYS"/>
    <s v="By Road"/>
    <x v="3"/>
  </r>
  <r>
    <x v="1"/>
    <s v="GST/2324/097"/>
    <d v="2023-11-29T00:00:00"/>
    <d v="2021-09-22T00:00:00"/>
    <s v="SOS2021087"/>
    <s v="C0230"/>
    <x v="159"/>
    <x v="2"/>
    <x v="1"/>
    <s v="Steel Plant"/>
    <x v="1"/>
    <x v="2"/>
    <s v="Tamilnadu"/>
    <s v="Chennai"/>
    <s v="Item4001ProductXC"/>
    <x v="3"/>
    <s v="ProductXC"/>
    <x v="1"/>
    <s v="Branch E"/>
    <s v="RED"/>
    <s v="LOTUS"/>
    <n v="10"/>
    <s v="MTR"/>
    <n v="7332"/>
    <n v="73320"/>
    <s v="INR"/>
    <n v="0.18"/>
    <n v="33071010"/>
    <n v="13200"/>
    <s v="Ravindra Shah"/>
    <s v="100% AGAINST PI"/>
    <s v="By Road"/>
    <x v="7"/>
  </r>
  <r>
    <x v="1"/>
    <s v="GST/2324/099"/>
    <d v="2023-11-26T00:00:00"/>
    <d v="2021-09-27T00:00:00"/>
    <s v="SOS2021089"/>
    <s v="C0234"/>
    <x v="160"/>
    <x v="0"/>
    <x v="2"/>
    <s v="Coal &amp; Mines"/>
    <x v="0"/>
    <x v="4"/>
    <s v="Maharashtra"/>
    <s v="Pune"/>
    <s v="Item3005ProductML"/>
    <x v="2"/>
    <s v="ProductML"/>
    <x v="3"/>
    <s v="Branch B"/>
    <s v="BLUE"/>
    <s v="LOTUS"/>
    <n v="10"/>
    <s v="NOS"/>
    <n v="7586"/>
    <n v="75860"/>
    <s v="INR"/>
    <n v="0.18"/>
    <n v="33013091"/>
    <n v="13650"/>
    <s v="Pramod Patange"/>
    <s v="100% AGAINST DELIVERY"/>
    <s v="By Vessel"/>
    <x v="2"/>
  </r>
  <r>
    <x v="1"/>
    <s v="GST/2324/100"/>
    <d v="2023-12-03T00:00:00"/>
    <d v="2021-09-28T00:00:00"/>
    <s v="SOS2021090"/>
    <s v="C0233"/>
    <x v="161"/>
    <x v="1"/>
    <x v="3"/>
    <s v="Fire Protection "/>
    <x v="1"/>
    <x v="1"/>
    <s v="Maharashtra"/>
    <s v="Pune"/>
    <s v="Item3005ProductVH"/>
    <x v="2"/>
    <s v="ProductVH"/>
    <x v="3"/>
    <s v="Branch C"/>
    <s v="PINK"/>
    <s v="ROSE"/>
    <n v="10"/>
    <s v="NOS"/>
    <n v="10776"/>
    <n v="107760"/>
    <s v="INR"/>
    <n v="0.18"/>
    <n v="33012948"/>
    <n v="19400"/>
    <s v="Gaurav Hinge"/>
    <s v="30 DAYS"/>
    <s v="By Vessel"/>
    <x v="8"/>
  </r>
  <r>
    <x v="1"/>
    <s v="GST/2324/101"/>
    <d v="2023-12-02T00:00:00"/>
    <d v="2021-09-29T00:00:00"/>
    <s v="SOS2021091"/>
    <s v="C0232"/>
    <x v="162"/>
    <x v="2"/>
    <x v="4"/>
    <s v="Shipping"/>
    <x v="2"/>
    <x v="3"/>
    <s v="Gujrat"/>
    <s v="Surat"/>
    <s v="Item3005ProductVF"/>
    <x v="2"/>
    <s v="ProductVF"/>
    <x v="0"/>
    <s v="Branch D"/>
    <s v="GREEN"/>
    <s v="SUNFLOWER"/>
    <n v="10"/>
    <s v="MTR"/>
    <n v="308"/>
    <n v="3080"/>
    <s v="INR"/>
    <n v="0.18"/>
    <n v="33013091"/>
    <n v="550"/>
    <s v="Sadashiv Shirsat"/>
    <s v="45 DAYS"/>
    <s v="By Vessel"/>
    <x v="5"/>
  </r>
  <r>
    <x v="1"/>
    <s v="GST/2324/102"/>
    <d v="2023-12-02T00:00:00"/>
    <d v="2021-09-30T00:00:00"/>
    <s v="SOS2021092"/>
    <s v="C0235"/>
    <x v="163"/>
    <x v="0"/>
    <x v="0"/>
    <s v="Aviation"/>
    <x v="0"/>
    <x v="0"/>
    <s v="Uttar Pradesh"/>
    <s v="Lucknow"/>
    <s v="Item3004ProductPG"/>
    <x v="2"/>
    <s v="ProductPG"/>
    <x v="0"/>
    <s v="Branch A"/>
    <s v="WHITE"/>
    <s v="LILY"/>
    <n v="20"/>
    <s v="MTR"/>
    <n v="753"/>
    <n v="15050"/>
    <s v="INR"/>
    <n v="0.18"/>
    <n v="33012948"/>
    <n v="2710"/>
    <s v="B. Karthikeyan"/>
    <s v="60 DAYS"/>
    <s v="By Vessel"/>
    <x v="0"/>
  </r>
  <r>
    <x v="1"/>
    <s v="GST/2324/103"/>
    <d v="2023-12-02T00:00:00"/>
    <d v="2021-10-01T00:00:00"/>
    <s v="SOS2021093"/>
    <s v="C0241"/>
    <x v="164"/>
    <x v="4"/>
    <x v="3"/>
    <s v="MEP / PMC"/>
    <x v="0"/>
    <x v="3"/>
    <s v="Haryana"/>
    <s v="Panipat"/>
    <s v="Item3004ProductKD"/>
    <x v="2"/>
    <s v="ProductKD"/>
    <x v="4"/>
    <s v="Branch D"/>
    <s v="RED"/>
    <s v="LOTUS"/>
    <n v="20"/>
    <s v="MTR"/>
    <n v="1006"/>
    <n v="20120"/>
    <s v="INR"/>
    <n v="0.18"/>
    <n v="33051010"/>
    <n v="3620"/>
    <s v="Ravindra Shah"/>
    <s v="90 DAYS"/>
    <s v="By Air"/>
    <x v="1"/>
  </r>
  <r>
    <x v="1"/>
    <s v="GST/2324/104"/>
    <d v="2023-12-10T00:00:00"/>
    <d v="2021-10-09T00:00:00"/>
    <s v="SOS2021099"/>
    <s v="C0110"/>
    <x v="165"/>
    <x v="3"/>
    <x v="4"/>
    <s v="Chemical &amp; Fertilizers"/>
    <x v="1"/>
    <x v="0"/>
    <s v="Uttar Pradesh"/>
    <s v="Kanpur"/>
    <s v="Item3002ProductKL"/>
    <x v="2"/>
    <s v="ProductKL"/>
    <x v="1"/>
    <s v="Branch A"/>
    <s v="GREEN"/>
    <s v="LOTUS"/>
    <n v="10"/>
    <s v="MTR"/>
    <n v="125"/>
    <n v="1250"/>
    <s v="INR"/>
    <n v="0.18"/>
    <n v="33071010"/>
    <n v="220"/>
    <s v="B. Karthikeyan"/>
    <s v="100% AGAINST PI"/>
    <s v="By Air"/>
    <x v="1"/>
  </r>
  <r>
    <x v="1"/>
    <s v="GST/2324/105"/>
    <d v="2023-12-12T00:00:00"/>
    <d v="2021-10-12T00:00:00"/>
    <s v="SOS2021100"/>
    <s v="C0118"/>
    <x v="166"/>
    <x v="0"/>
    <x v="1"/>
    <s v="Power"/>
    <x v="0"/>
    <x v="1"/>
    <s v="Delhi"/>
    <s v="New Delhi"/>
    <s v="Item3001ProductYH"/>
    <x v="2"/>
    <s v="ProductYH"/>
    <x v="3"/>
    <s v="Branch C"/>
    <s v="YELLOW"/>
    <s v="ROSE"/>
    <n v="10"/>
    <s v="NOS"/>
    <n v="839"/>
    <n v="8390"/>
    <s v="INR"/>
    <n v="0.18"/>
    <n v="33030050"/>
    <n v="1510"/>
    <s v="Ravindra Shah"/>
    <s v="30% ADV &amp; 70% AGAINST PI"/>
    <s v="By Vessel"/>
    <x v="0"/>
  </r>
  <r>
    <x v="1"/>
    <s v="GST/2324/106"/>
    <d v="2023-12-17T00:00:00"/>
    <d v="2021-10-13T00:00:00"/>
    <s v="SOF2021271"/>
    <s v="C0117"/>
    <x v="167"/>
    <x v="0"/>
    <x v="0"/>
    <s v="Oil &amp; Gas"/>
    <x v="1"/>
    <x v="0"/>
    <s v="Haryana"/>
    <s v="Gurgaon"/>
    <s v="Item3001ProductRT"/>
    <x v="2"/>
    <s v="ProductRT"/>
    <x v="3"/>
    <s v="Branch A"/>
    <s v="BLUE"/>
    <s v="SUNFLOWER"/>
    <n v="20"/>
    <s v="NOS"/>
    <n v="4083"/>
    <n v="81670"/>
    <s v="INR"/>
    <n v="0.18"/>
    <n v="33013091"/>
    <n v="14700"/>
    <s v="Vishal Patil"/>
    <s v="100% AGAINST DELIVERY"/>
    <s v="By Road"/>
    <x v="1"/>
  </r>
  <r>
    <x v="1"/>
    <s v="GST/2324/107"/>
    <d v="2023-12-19T00:00:00"/>
    <d v="2021-10-14T00:00:00"/>
    <s v="SOF2021272"/>
    <s v="C0116"/>
    <x v="168"/>
    <x v="1"/>
    <x v="1"/>
    <s v="MEP / PMC"/>
    <x v="2"/>
    <x v="4"/>
    <s v="Andhra Pradesh"/>
    <s v="Vijaywada"/>
    <s v="Item3001ProductJK"/>
    <x v="2"/>
    <s v="ProductJK"/>
    <x v="0"/>
    <s v="Branch B"/>
    <s v="PINK"/>
    <s v="LILY"/>
    <n v="10"/>
    <s v="NOS"/>
    <n v="281"/>
    <n v="2810"/>
    <s v="INR"/>
    <n v="0.18"/>
    <n v="33012948"/>
    <n v="510"/>
    <s v="Pankaj Sawant"/>
    <s v="30 DAYS"/>
    <s v="By Air"/>
    <x v="6"/>
  </r>
  <r>
    <x v="1"/>
    <s v="GST/2324/108"/>
    <d v="2024-02-18T00:00:00"/>
    <d v="2021-10-15T00:00:00"/>
    <s v="SOF2021273"/>
    <s v="C0115"/>
    <x v="169"/>
    <x v="2"/>
    <x v="0"/>
    <s v="IT"/>
    <x v="0"/>
    <x v="1"/>
    <s v="Karnataka"/>
    <s v="Banglore"/>
    <s v="Item3001ProductGJ"/>
    <x v="2"/>
    <s v="ProductGJ"/>
    <x v="0"/>
    <s v="Branch C"/>
    <s v="GREEN"/>
    <s v="LOTUS"/>
    <n v="10"/>
    <s v="NOS"/>
    <n v="308"/>
    <n v="3080"/>
    <s v="INR"/>
    <n v="0.18"/>
    <n v="33013091"/>
    <n v="550"/>
    <s v="Sandeep Kunde"/>
    <s v="45 DAYS"/>
    <s v="By Vessel"/>
    <x v="3"/>
  </r>
  <r>
    <x v="1"/>
    <s v="GST/2324/111"/>
    <d v="2023-12-26T00:00:00"/>
    <d v="2021-10-18T00:00:00"/>
    <s v="SOF2021276"/>
    <s v="C0112"/>
    <x v="170"/>
    <x v="0"/>
    <x v="1"/>
    <s v="Railways"/>
    <x v="0"/>
    <x v="1"/>
    <s v="Punjab"/>
    <s v="Jalandhar"/>
    <s v="Item2005ProductGC"/>
    <x v="4"/>
    <s v="ProductGC"/>
    <x v="4"/>
    <s v="Branch C"/>
    <s v="BLUE"/>
    <s v="LILY"/>
    <n v="840"/>
    <s v="NOS"/>
    <n v="113"/>
    <n v="94790"/>
    <s v="INR"/>
    <n v="0.18"/>
    <n v="33059090"/>
    <n v="17060"/>
    <s v="Sunil Yadav"/>
    <s v="100% AGAINST PI"/>
    <s v="By Vessel"/>
    <x v="2"/>
  </r>
  <r>
    <x v="1"/>
    <s v="GST/2324/112"/>
    <d v="2023-12-18T00:00:00"/>
    <d v="2021-10-19T00:00:00"/>
    <s v="SOF2021277"/>
    <s v="C0119"/>
    <x v="171"/>
    <x v="1"/>
    <x v="2"/>
    <s v="Power"/>
    <x v="1"/>
    <x v="3"/>
    <s v="Rajasthan"/>
    <s v="Jaipur"/>
    <s v="Item2004ProductFI"/>
    <x v="4"/>
    <s v="ProductFI"/>
    <x v="4"/>
    <s v="Branch D"/>
    <s v="PINK"/>
    <s v="LOTUS"/>
    <n v="250"/>
    <s v="NOS"/>
    <n v="1946"/>
    <n v="486530"/>
    <s v="INR"/>
    <n v="0.18"/>
    <n v="33049930"/>
    <n v="87570"/>
    <s v="Sadashiv Shirsat"/>
    <s v="60 DAYS"/>
    <s v="By Road"/>
    <x v="8"/>
  </r>
  <r>
    <x v="1"/>
    <s v="GST/2324/113"/>
    <d v="2023-12-19T00:00:00"/>
    <d v="2021-10-20T00:00:00"/>
    <s v="SOF2021278"/>
    <s v="C0120"/>
    <x v="172"/>
    <x v="2"/>
    <x v="0"/>
    <s v="Oil &amp; Gas"/>
    <x v="2"/>
    <x v="2"/>
    <s v="Tamilnadu"/>
    <s v="Chennai"/>
    <s v="Item2004ProductFH"/>
    <x v="4"/>
    <s v="ProductFH"/>
    <x v="0"/>
    <s v="Branch E"/>
    <s v="GREEN"/>
    <s v="ROSE"/>
    <n v="40"/>
    <s v="NOS"/>
    <n v="1946"/>
    <n v="77840"/>
    <s v="INR"/>
    <n v="0.18"/>
    <n v="33041000"/>
    <n v="14010"/>
    <s v="B. Karthikeyan"/>
    <s v="90 DAYS"/>
    <s v="By Air"/>
    <x v="0"/>
  </r>
  <r>
    <x v="1"/>
    <s v="GST/2324/114"/>
    <d v="2023-12-20T00:00:00"/>
    <d v="2021-10-21T00:00:00"/>
    <s v="SOF2021279"/>
    <s v="C0121"/>
    <x v="51"/>
    <x v="4"/>
    <x v="1"/>
    <s v="MEP / PMC"/>
    <x v="0"/>
    <x v="0"/>
    <s v="Telangana"/>
    <s v="Hyderabad"/>
    <s v="Item2004ProductFG"/>
    <x v="4"/>
    <s v="ProductFG"/>
    <x v="1"/>
    <s v="Branch A"/>
    <s v="RED"/>
    <s v="LOTUS"/>
    <n v="40"/>
    <s v="NOS"/>
    <n v="1166"/>
    <n v="46640"/>
    <s v="INR"/>
    <n v="0.18"/>
    <n v="33071010"/>
    <n v="8400"/>
    <s v="Ravindra Shah"/>
    <s v="100% AGAINST PI"/>
    <s v="By Vessel"/>
    <x v="1"/>
  </r>
  <r>
    <x v="1"/>
    <s v="GST/2324/115"/>
    <d v="2023-12-21T00:00:00"/>
    <d v="2021-10-22T00:00:00"/>
    <s v="SOF2021280"/>
    <s v="C0122"/>
    <x v="173"/>
    <x v="3"/>
    <x v="2"/>
    <s v="IT"/>
    <x v="1"/>
    <x v="4"/>
    <s v="Assam"/>
    <s v="Guwahati"/>
    <s v="Item2003ProductPZ"/>
    <x v="4"/>
    <s v="ProductPZ"/>
    <x v="1"/>
    <s v="Branch B"/>
    <s v="YELLOW"/>
    <s v="LOTUS"/>
    <n v="40"/>
    <s v="NOS"/>
    <n v="31"/>
    <n v="1250"/>
    <s v="INR"/>
    <n v="0.18"/>
    <n v="33030050"/>
    <n v="220"/>
    <s v="Vishal Patil"/>
    <s v="30% ADV &amp; 70% AGAINST PI"/>
    <s v="By Road"/>
    <x v="6"/>
  </r>
  <r>
    <x v="1"/>
    <s v="GST/2324/116"/>
    <d v="2023-12-21T00:00:00"/>
    <d v="2021-10-22T00:00:00"/>
    <s v="SOF2021281"/>
    <s v="C0126"/>
    <x v="174"/>
    <x v="0"/>
    <x v="0"/>
    <s v="Other Industries"/>
    <x v="2"/>
    <x v="1"/>
    <s v="Andhra Pradesh"/>
    <s v="Vijaywada"/>
    <s v="Item2003ProductZA"/>
    <x v="4"/>
    <s v="ProductZA"/>
    <x v="1"/>
    <s v="Branch C"/>
    <s v="BLUE"/>
    <s v="ROSE"/>
    <n v="40"/>
    <s v="NOS"/>
    <n v="10842"/>
    <n v="433680"/>
    <s v="INR"/>
    <n v="0.18"/>
    <n v="33051010"/>
    <n v="78060"/>
    <s v="Pankaj Sawant"/>
    <s v="100% AGAINST DELIVERY"/>
    <s v="By Road"/>
    <x v="3"/>
  </r>
  <r>
    <x v="1"/>
    <s v="GST/2324/117"/>
    <d v="2023-12-20T00:00:00"/>
    <d v="2021-10-22T00:00:00"/>
    <s v="SOF2021282"/>
    <s v="C0125"/>
    <x v="175"/>
    <x v="1"/>
    <x v="1"/>
    <s v="Commercial Establishment"/>
    <x v="0"/>
    <x v="3"/>
    <s v="Assam"/>
    <s v="Guwahati"/>
    <s v="Item2004ProductZX"/>
    <x v="4"/>
    <s v="ProductZX"/>
    <x v="1"/>
    <s v="Branch D"/>
    <s v="PINK"/>
    <s v="LOTUS"/>
    <n v="10"/>
    <s v="NOS"/>
    <n v="11766"/>
    <n v="117660"/>
    <s v="INR"/>
    <n v="0.18"/>
    <n v="33059090"/>
    <n v="21180"/>
    <s v="Sandeep Kunde"/>
    <s v="30 DAYS"/>
    <s v="By Air"/>
    <x v="7"/>
  </r>
  <r>
    <x v="1"/>
    <s v="GST/2324/118"/>
    <d v="2023-12-16T00:00:00"/>
    <d v="2021-10-22T00:00:00"/>
    <s v="SOF2021283"/>
    <s v="C0124"/>
    <x v="176"/>
    <x v="2"/>
    <x v="1"/>
    <s v="Railways"/>
    <x v="0"/>
    <x v="0"/>
    <s v="Maharashtra"/>
    <s v="Mumbai"/>
    <s v="Item2004ProductFA"/>
    <x v="4"/>
    <s v="ProductFA"/>
    <x v="1"/>
    <s v="Branch A"/>
    <s v="GREEN"/>
    <s v="ROSE"/>
    <n v="170"/>
    <s v="NOS"/>
    <n v="1833"/>
    <n v="311610"/>
    <s v="INR"/>
    <n v="0.18"/>
    <n v="33049930"/>
    <n v="56090"/>
    <s v="Nikesh Dave"/>
    <s v="45 DAYS"/>
    <s v="By Vessel"/>
    <x v="4"/>
  </r>
  <r>
    <x v="1"/>
    <s v="GST/2324/119"/>
    <d v="2023-12-21T00:00:00"/>
    <d v="2021-10-22T00:00:00"/>
    <s v="SOF2021284"/>
    <s v="C0123"/>
    <x v="177"/>
    <x v="0"/>
    <x v="1"/>
    <s v="Steel Plant"/>
    <x v="1"/>
    <x v="4"/>
    <s v="Gujrat"/>
    <s v="Vadodara"/>
    <s v="Item2003ProductPD"/>
    <x v="4"/>
    <s v="ProductPD"/>
    <x v="2"/>
    <s v="Branch B"/>
    <s v="WHITE"/>
    <s v="LOTUS"/>
    <n v="210"/>
    <s v="NOS"/>
    <n v="4435"/>
    <n v="931290"/>
    <s v="INR"/>
    <n v="0.18"/>
    <n v="33041000"/>
    <n v="167630"/>
    <s v="Rajesh Uttarde"/>
    <s v="60 DAYS"/>
    <s v="By Road"/>
    <x v="2"/>
  </r>
  <r>
    <x v="1"/>
    <s v="GST/2324/120"/>
    <d v="2023-12-21T00:00:00"/>
    <d v="2021-10-22T00:00:00"/>
    <s v="SOF2021285"/>
    <s v="C0127"/>
    <x v="178"/>
    <x v="1"/>
    <x v="1"/>
    <s v="Power"/>
    <x v="0"/>
    <x v="1"/>
    <s v="Uttar Pradesh"/>
    <s v="Kanpur"/>
    <s v="Item2003ProductPA"/>
    <x v="4"/>
    <s v="ProductPA"/>
    <x v="3"/>
    <s v="Branch C"/>
    <s v="RED"/>
    <s v="ROSE"/>
    <n v="170"/>
    <s v="NOS"/>
    <n v="720"/>
    <n v="122370"/>
    <s v="INR"/>
    <n v="0.18"/>
    <n v="33071010"/>
    <n v="22030"/>
    <s v="Sunil Yadav"/>
    <s v="90 DAYS"/>
    <s v="By Road"/>
    <x v="8"/>
  </r>
  <r>
    <x v="1"/>
    <s v="GST/2324/121"/>
    <d v="2023-12-21T00:00:00"/>
    <d v="2021-10-22T00:00:00"/>
    <s v="SOF2021286"/>
    <s v="C0131"/>
    <x v="179"/>
    <x v="2"/>
    <x v="2"/>
    <s v="Oil &amp; Gas"/>
    <x v="0"/>
    <x v="0"/>
    <s v="Madhya Pradesh"/>
    <s v="Indore"/>
    <s v="Item2002ProductLM"/>
    <x v="4"/>
    <s v="ProductLM"/>
    <x v="3"/>
    <s v="Branch A"/>
    <s v="RED"/>
    <s v="SUNFLOWER"/>
    <n v="170"/>
    <s v="NOS"/>
    <n v="1716"/>
    <n v="291720"/>
    <s v="INR"/>
    <n v="0.18"/>
    <n v="33030050"/>
    <n v="52510"/>
    <s v="Sadashiv Shirsat"/>
    <s v="100% AGAINST PI"/>
    <s v="By Road"/>
    <x v="5"/>
  </r>
  <r>
    <x v="1"/>
    <s v="GST/2324/122"/>
    <d v="2023-12-28T00:00:00"/>
    <d v="2021-10-29T00:00:00"/>
    <s v="SOF2021287"/>
    <s v="C0130"/>
    <x v="180"/>
    <x v="4"/>
    <x v="3"/>
    <s v="MEP / PMC"/>
    <x v="0"/>
    <x v="4"/>
    <s v="Delhi"/>
    <s v="New Delhi"/>
    <s v="Item2002ProductLQ"/>
    <x v="4"/>
    <s v="ProductLQ"/>
    <x v="0"/>
    <s v="Branch B"/>
    <s v="RED"/>
    <s v="LILY"/>
    <n v="170"/>
    <s v="NOS"/>
    <n v="982"/>
    <n v="166960"/>
    <s v="INR"/>
    <n v="0.18"/>
    <n v="33013091"/>
    <n v="30050"/>
    <s v="B. Karthikeyan"/>
    <s v="30% ADV &amp; 70% AGAINST PI"/>
    <s v="By Road"/>
    <x v="0"/>
  </r>
  <r>
    <x v="1"/>
    <s v="GST/2324/123"/>
    <d v="2023-12-29T00:00:00"/>
    <d v="2021-10-30T00:00:00"/>
    <s v="SOF2021288"/>
    <s v="C0129"/>
    <x v="181"/>
    <x v="3"/>
    <x v="4"/>
    <s v="IT"/>
    <x v="1"/>
    <x v="1"/>
    <s v="Haryana"/>
    <s v="Gurgaon"/>
    <s v="Item2002ProductLN"/>
    <x v="4"/>
    <s v="ProductLN"/>
    <x v="0"/>
    <s v="Branch C"/>
    <s v="YELLOW"/>
    <s v="LOTUS"/>
    <n v="170"/>
    <s v="NOS"/>
    <n v="38"/>
    <n v="6460"/>
    <s v="INR"/>
    <n v="0.18"/>
    <n v="33012948"/>
    <n v="1160"/>
    <s v="Ravindra Shah"/>
    <s v="100% AGAINST DELIVERY"/>
    <s v="By Vessel"/>
    <x v="1"/>
  </r>
  <r>
    <x v="1"/>
    <s v="GST/2324/124"/>
    <d v="2023-12-30T00:00:00"/>
    <d v="2021-10-31T00:00:00"/>
    <s v="SOF2021289"/>
    <s v="C0128"/>
    <x v="98"/>
    <x v="0"/>
    <x v="0"/>
    <s v="Other Industries"/>
    <x v="0"/>
    <x v="3"/>
    <s v="Andhra Pradesh"/>
    <s v="Vijaywada"/>
    <s v="Item2001ProductEG"/>
    <x v="4"/>
    <s v="ProductEG"/>
    <x v="4"/>
    <s v="Branch D"/>
    <s v="BLUE"/>
    <s v="ROSE"/>
    <n v="210"/>
    <s v="MTR"/>
    <n v="38"/>
    <n v="7980"/>
    <s v="INR"/>
    <n v="0.18"/>
    <n v="33013091"/>
    <n v="1440"/>
    <s v="Vishal Patil"/>
    <s v="30 DAYS"/>
    <s v="By Vessel"/>
    <x v="6"/>
  </r>
  <r>
    <x v="1"/>
    <s v="GST/2324/125"/>
    <d v="2023-12-31T00:00:00"/>
    <d v="2021-11-01T00:00:00"/>
    <s v="SOF2021290"/>
    <s v="C0132"/>
    <x v="52"/>
    <x v="1"/>
    <x v="1"/>
    <s v="Commercial Establishment"/>
    <x v="1"/>
    <x v="0"/>
    <s v="Karnataka"/>
    <s v="Banglore"/>
    <s v="Item2001ProductEE"/>
    <x v="4"/>
    <s v="ProductEE"/>
    <x v="4"/>
    <s v="Branch A"/>
    <s v="PINK"/>
    <s v="SUNFLOWER"/>
    <n v="170"/>
    <s v="NOS"/>
    <n v="21"/>
    <n v="3630"/>
    <s v="INR"/>
    <n v="0.18"/>
    <n v="33012948"/>
    <n v="650"/>
    <s v="Pramod Patange"/>
    <s v="45 DAYS"/>
    <s v="By Vessel"/>
    <x v="3"/>
  </r>
  <r>
    <x v="1"/>
    <s v="GST/2324/126"/>
    <d v="2024-01-07T00:00:00"/>
    <d v="2021-11-02T00:00:00"/>
    <s v="SOF2021291"/>
    <s v="C0094"/>
    <x v="33"/>
    <x v="1"/>
    <x v="2"/>
    <s v="Shipping"/>
    <x v="2"/>
    <x v="3"/>
    <s v="Gujrat"/>
    <s v="Ahmedabad"/>
    <s v="Item2001ProductEF"/>
    <x v="4"/>
    <s v="ProductEF"/>
    <x v="4"/>
    <s v="Branch D"/>
    <s v="GREEN"/>
    <s v="LOTUS"/>
    <n v="10"/>
    <s v="NOS"/>
    <n v="34710"/>
    <n v="347100"/>
    <s v="INR"/>
    <n v="0.18"/>
    <n v="33051010"/>
    <n v="62480"/>
    <s v="Gaurav Hinge"/>
    <s v="60 DAYS"/>
    <s v="By Vessel"/>
    <x v="7"/>
  </r>
  <r>
    <x v="1"/>
    <s v="GST/2324/127"/>
    <d v="2024-01-08T00:00:00"/>
    <d v="2021-11-03T00:00:00"/>
    <s v="SOF2021292"/>
    <s v="C0093"/>
    <x v="182"/>
    <x v="2"/>
    <x v="4"/>
    <s v="Aviation"/>
    <x v="0"/>
    <x v="2"/>
    <s v="Uttar Pradesh"/>
    <s v="Lucknow"/>
    <s v="Item1005ProductDC"/>
    <x v="0"/>
    <s v="ProductDC"/>
    <x v="0"/>
    <s v="Branch E"/>
    <s v="RED"/>
    <s v="ROSE"/>
    <n v="10"/>
    <s v="NOS"/>
    <n v="37113"/>
    <n v="371130"/>
    <s v="INR"/>
    <n v="0.18"/>
    <n v="33059090"/>
    <n v="66800"/>
    <s v="Pankaj Sawant"/>
    <s v="90 DAYS"/>
    <s v="By Air"/>
    <x v="4"/>
  </r>
  <r>
    <x v="1"/>
    <s v="GST/2324/128"/>
    <d v="2023-12-19T00:00:00"/>
    <d v="2021-11-04T00:00:00"/>
    <s v="SOF2021293"/>
    <s v="C0092"/>
    <x v="183"/>
    <x v="4"/>
    <x v="0"/>
    <s v="Chemical &amp; Fertilizers"/>
    <x v="1"/>
    <x v="0"/>
    <s v="Madhya Pradesh"/>
    <s v="Indore"/>
    <s v="Item1005ProductDE"/>
    <x v="0"/>
    <s v="ProductDE"/>
    <x v="0"/>
    <s v="Branch A"/>
    <s v="YELLOW"/>
    <s v="SUNFLOWER"/>
    <n v="10"/>
    <s v="NOS"/>
    <n v="27960"/>
    <n v="279600"/>
    <s v="INR"/>
    <n v="0.18"/>
    <n v="33049930"/>
    <n v="50330"/>
    <s v="Sandeep Kunde"/>
    <s v="100% AGAINST PI"/>
    <s v="By Air"/>
    <x v="2"/>
  </r>
  <r>
    <x v="1"/>
    <s v="GST/2324/129"/>
    <d v="2024-01-10T00:00:00"/>
    <d v="2021-11-05T00:00:00"/>
    <s v="SOF2021294"/>
    <s v="C0091"/>
    <x v="184"/>
    <x v="0"/>
    <x v="1"/>
    <s v="OEM's"/>
    <x v="0"/>
    <x v="4"/>
    <s v="Delhi"/>
    <s v="New Delhi"/>
    <s v="Item2001ProductEA"/>
    <x v="4"/>
    <s v="ProductEA"/>
    <x v="1"/>
    <s v="Branch B"/>
    <s v="BLUE"/>
    <s v="LOTUS"/>
    <n v="10"/>
    <s v="NOS"/>
    <n v="1052"/>
    <n v="10520"/>
    <s v="INR"/>
    <n v="0.18"/>
    <n v="33051010"/>
    <n v="1890"/>
    <s v="Nikesh Dave"/>
    <s v="60 DAYS"/>
    <s v="By Air"/>
    <x v="8"/>
  </r>
  <r>
    <x v="1"/>
    <s v="GST/2324/130"/>
    <d v="2024-01-10T00:00:00"/>
    <d v="2021-11-05T00:00:00"/>
    <s v="SOF2021295"/>
    <s v="C0090"/>
    <x v="185"/>
    <x v="1"/>
    <x v="2"/>
    <s v="Power"/>
    <x v="1"/>
    <x v="1"/>
    <s v="Haryana"/>
    <s v="Gurgaon"/>
    <s v="Item1005ProductDB"/>
    <x v="0"/>
    <s v="ProductDB"/>
    <x v="1"/>
    <s v="Branch C"/>
    <s v="PINK"/>
    <s v="ROSE"/>
    <n v="10"/>
    <s v="NOS"/>
    <n v="24030"/>
    <n v="240300"/>
    <s v="INR"/>
    <n v="0.18"/>
    <n v="33059090"/>
    <n v="43250"/>
    <s v="Rajesh Uttarde"/>
    <s v="90 DAYS"/>
    <s v="By Air"/>
    <x v="0"/>
  </r>
  <r>
    <x v="1"/>
    <s v="GST/2324/131"/>
    <d v="2024-01-10T00:00:00"/>
    <d v="2021-11-05T00:00:00"/>
    <s v="SOF2021296"/>
    <s v="C0098"/>
    <x v="186"/>
    <x v="2"/>
    <x v="3"/>
    <s v="Oil &amp; Gas"/>
    <x v="2"/>
    <x v="3"/>
    <s v="Andhra Pradesh"/>
    <s v="Kakinada"/>
    <s v="Item1004ProductDA"/>
    <x v="0"/>
    <s v="ProductDA"/>
    <x v="1"/>
    <s v="Branch D"/>
    <s v="GREEN"/>
    <s v="LOTUS"/>
    <n v="10"/>
    <s v="NOS"/>
    <n v="4407"/>
    <n v="44070"/>
    <s v="INR"/>
    <n v="0.18"/>
    <n v="33049930"/>
    <n v="7930"/>
    <s v="Sunil Yadav"/>
    <s v="100% AGAINST PI"/>
    <s v="By Road"/>
    <x v="1"/>
  </r>
  <r>
    <x v="1"/>
    <s v="GST/2324/132"/>
    <d v="2023-12-23T00:00:00"/>
    <d v="2021-11-08T00:00:00"/>
    <s v="SOF2021297"/>
    <s v="C0099"/>
    <x v="48"/>
    <x v="4"/>
    <x v="4"/>
    <s v="MEP / PMC"/>
    <x v="2"/>
    <x v="2"/>
    <s v="Karnataka"/>
    <s v="Banglore"/>
    <s v="Item1004ProductCD"/>
    <x v="0"/>
    <s v="ProductCD"/>
    <x v="1"/>
    <s v="Branch E"/>
    <s v="RED"/>
    <s v="ROSE"/>
    <n v="10"/>
    <s v="NOS"/>
    <n v="5702"/>
    <n v="57020"/>
    <s v="INR"/>
    <n v="0.18"/>
    <n v="33041000"/>
    <n v="10260"/>
    <s v="Sadashiv Shirsat"/>
    <s v="30% ADV &amp; 70% AGAINST PI"/>
    <s v="By Road"/>
    <x v="6"/>
  </r>
  <r>
    <x v="1"/>
    <s v="GST/2324/133"/>
    <d v="2024-01-14T00:00:00"/>
    <d v="2021-11-09T00:00:00"/>
    <s v="SOF2021298"/>
    <s v="C0104"/>
    <x v="49"/>
    <x v="0"/>
    <x v="4"/>
    <s v="IT"/>
    <x v="0"/>
    <x v="0"/>
    <s v="Jharkhand"/>
    <s v="Dhanbad"/>
    <s v="Item1004ProductCB"/>
    <x v="0"/>
    <s v="ProductCB"/>
    <x v="1"/>
    <s v="Branch A"/>
    <s v="RED"/>
    <s v="LOTUS"/>
    <n v="10"/>
    <s v="NOS"/>
    <n v="224"/>
    <n v="2240"/>
    <s v="INR"/>
    <n v="0.18"/>
    <n v="33071010"/>
    <n v="400"/>
    <s v="B. Karthikeyan"/>
    <s v="100% AGAINST DELIVERY"/>
    <s v="By Road"/>
    <x v="3"/>
  </r>
  <r>
    <x v="1"/>
    <s v="GST/2324/134"/>
    <d v="2024-01-14T00:00:00"/>
    <d v="2021-11-09T00:00:00"/>
    <s v="SOF2021299"/>
    <s v="C0103"/>
    <x v="50"/>
    <x v="1"/>
    <x v="4"/>
    <s v="Other Industries"/>
    <x v="1"/>
    <x v="0"/>
    <s v="Kerala"/>
    <s v="Kochi"/>
    <s v="Item1004ProductCC"/>
    <x v="0"/>
    <s v="ProductCC"/>
    <x v="2"/>
    <s v="Branch A"/>
    <s v="YELLOW"/>
    <s v="ROSE"/>
    <n v="10"/>
    <s v="KG"/>
    <n v="7172"/>
    <n v="71720"/>
    <s v="INR"/>
    <n v="0.18"/>
    <n v="33030050"/>
    <n v="12910"/>
    <s v="Ravindra Shah"/>
    <s v="30 DAYS"/>
    <s v="By Road"/>
    <x v="0"/>
  </r>
  <r>
    <x v="1"/>
    <s v="GST/2324/135"/>
    <d v="2024-01-14T00:00:00"/>
    <d v="2021-11-09T00:00:00"/>
    <s v="SOF2021300"/>
    <s v="C0102"/>
    <x v="187"/>
    <x v="2"/>
    <x v="2"/>
    <s v="Commercial Establishment"/>
    <x v="0"/>
    <x v="0"/>
    <s v="Punjab"/>
    <s v="Jalandhar"/>
    <s v="Item1002ProductAF"/>
    <x v="0"/>
    <s v="ProductAF"/>
    <x v="3"/>
    <s v="Branch A"/>
    <s v="BLUE"/>
    <s v="SUNFLOWER"/>
    <n v="10"/>
    <s v="NOS"/>
    <n v="4272"/>
    <n v="42720"/>
    <s v="INR"/>
    <n v="0.18"/>
    <n v="33051010"/>
    <n v="7690"/>
    <s v="Vishal Patil"/>
    <s v="45 DAYS"/>
    <s v="By Air"/>
    <x v="1"/>
  </r>
  <r>
    <x v="1"/>
    <s v="GST/2324/136"/>
    <d v="2024-01-14T00:00:00"/>
    <d v="2021-11-09T00:00:00"/>
    <s v="SOF2021301"/>
    <s v="C0101"/>
    <x v="188"/>
    <x v="0"/>
    <x v="2"/>
    <s v="Railways"/>
    <x v="1"/>
    <x v="0"/>
    <s v="Rajasthan"/>
    <s v="Ajmer"/>
    <s v="Item1002ProductAG"/>
    <x v="0"/>
    <s v="ProductAG"/>
    <x v="3"/>
    <s v="Branch A"/>
    <s v="PINK"/>
    <s v="LILY"/>
    <n v="10"/>
    <s v="NOS"/>
    <n v="17353"/>
    <n v="173530"/>
    <s v="INR"/>
    <n v="0.18"/>
    <n v="33059090"/>
    <n v="31240"/>
    <s v="Pramod Patange"/>
    <s v="60 DAYS"/>
    <s v="By Road"/>
    <x v="6"/>
  </r>
  <r>
    <x v="1"/>
    <s v="GST/2324/137"/>
    <d v="2023-12-14T00:00:00"/>
    <d v="2021-11-09T00:00:00"/>
    <s v="SOF2021302"/>
    <s v="C0100"/>
    <x v="189"/>
    <x v="1"/>
    <x v="1"/>
    <s v="Steel Plant"/>
    <x v="2"/>
    <x v="0"/>
    <s v="Tamilnadu"/>
    <s v="Chennai"/>
    <s v="Item1003ProductBA"/>
    <x v="0"/>
    <s v="ProductBA"/>
    <x v="0"/>
    <s v="Branch A"/>
    <s v="GREEN"/>
    <s v="LOTUS"/>
    <n v="10"/>
    <s v="NOS"/>
    <n v="9365"/>
    <n v="93650"/>
    <s v="INR"/>
    <n v="0.18"/>
    <n v="33049930"/>
    <n v="16860"/>
    <s v="Gaurav Hinge"/>
    <s v="90 DAYS"/>
    <s v="By Air"/>
    <x v="3"/>
  </r>
  <r>
    <x v="1"/>
    <s v="GST/2324/138"/>
    <d v="2023-12-18T00:00:00"/>
    <d v="2021-12-08T00:00:00"/>
    <s v="SOF2021327"/>
    <s v="C0471"/>
    <x v="190"/>
    <x v="0"/>
    <x v="4"/>
    <s v="Defence"/>
    <x v="2"/>
    <x v="0"/>
    <s v="Goa"/>
    <s v="Mapusa"/>
    <s v="Item4002ProductVT"/>
    <x v="3"/>
    <s v="ProductVT"/>
    <x v="3"/>
    <s v="Branch A"/>
    <s v="RED"/>
    <s v="LOTUS"/>
    <n v="50"/>
    <s v="NOS"/>
    <n v="638"/>
    <n v="31900"/>
    <s v="INR"/>
    <n v="0.18"/>
    <n v="33030050"/>
    <n v="5740"/>
    <s v="Sunil Yadav"/>
    <s v="100% AGAINST PI"/>
    <s v="By Air"/>
    <x v="1"/>
  </r>
  <r>
    <x v="1"/>
    <s v="GST/2324/139"/>
    <d v="2023-12-29T00:00:00"/>
    <d v="2021-12-09T00:00:00"/>
    <s v="SOF2021328"/>
    <s v="C0470"/>
    <x v="191"/>
    <x v="1"/>
    <x v="0"/>
    <s v="Coal &amp; Mines"/>
    <x v="0"/>
    <x v="0"/>
    <s v="Maharashtra"/>
    <s v="Mumbai"/>
    <s v="Item4002ProductVY"/>
    <x v="3"/>
    <s v="ProductVY"/>
    <x v="3"/>
    <s v="Branch A"/>
    <s v="YELLOW"/>
    <s v="ROSE"/>
    <n v="150"/>
    <s v="NOS"/>
    <n v="528"/>
    <n v="79200"/>
    <s v="INR"/>
    <n v="0.18"/>
    <n v="33013091"/>
    <n v="14260"/>
    <s v="Sadashiv Shirsat"/>
    <s v="60 DAYS"/>
    <s v="By Road"/>
    <x v="6"/>
  </r>
  <r>
    <x v="1"/>
    <s v="GST/2324/140"/>
    <d v="2024-01-19T00:00:00"/>
    <d v="2021-12-09T00:00:00"/>
    <s v="SOF2021329"/>
    <s v="C0469"/>
    <x v="192"/>
    <x v="0"/>
    <x v="1"/>
    <s v="Fire Protection "/>
    <x v="1"/>
    <x v="4"/>
    <s v="Gujrat"/>
    <s v="Surat"/>
    <s v="Item4001ProductXT"/>
    <x v="3"/>
    <s v="ProductXT"/>
    <x v="0"/>
    <s v="Branch B"/>
    <s v="BLUE"/>
    <s v="SUNFLOWER"/>
    <n v="10"/>
    <s v="NOS"/>
    <n v="672"/>
    <n v="6720"/>
    <s v="INR"/>
    <n v="0.18"/>
    <n v="33012948"/>
    <n v="1210"/>
    <s v="B. Karthikeyan"/>
    <s v="90 DAYS"/>
    <s v="By Road"/>
    <x v="3"/>
  </r>
  <r>
    <x v="1"/>
    <s v="GST/2324/141"/>
    <d v="2024-01-22T00:00:00"/>
    <d v="2021-12-11T00:00:00"/>
    <s v="SOF2021330"/>
    <s v="C0468"/>
    <x v="193"/>
    <x v="1"/>
    <x v="0"/>
    <s v="Shipping"/>
    <x v="2"/>
    <x v="1"/>
    <s v="Uttar Pradesh"/>
    <s v="Varanasi"/>
    <s v="Item4001ProductXC"/>
    <x v="3"/>
    <s v="ProductXC"/>
    <x v="0"/>
    <s v="Branch C"/>
    <s v="PINK"/>
    <s v="LILY"/>
    <n v="40"/>
    <s v="NOS"/>
    <n v="812"/>
    <n v="32480"/>
    <s v="INR"/>
    <n v="0.18"/>
    <n v="33051010"/>
    <n v="5850"/>
    <s v="Ravindra Shah"/>
    <s v="100% AGAINST PI"/>
    <s v="By Road"/>
    <x v="7"/>
  </r>
  <r>
    <x v="1"/>
    <s v="GST/2324/142"/>
    <d v="2024-01-24T00:00:00"/>
    <d v="2021-12-12T00:00:00"/>
    <s v="SOF2021331"/>
    <s v="C0467"/>
    <x v="194"/>
    <x v="2"/>
    <x v="1"/>
    <s v="Aviation"/>
    <x v="0"/>
    <x v="0"/>
    <s v="Madhya Pradesh"/>
    <s v="Ujjain"/>
    <s v="Item4004ProductQP"/>
    <x v="3"/>
    <s v="ProductQP"/>
    <x v="4"/>
    <s v="Branch A"/>
    <s v="GREEN"/>
    <s v="LOTUS"/>
    <n v="20"/>
    <s v="NOS"/>
    <n v="955"/>
    <n v="19100"/>
    <s v="INR"/>
    <n v="0.18"/>
    <n v="33059090"/>
    <n v="3440"/>
    <s v="Vishal Patil"/>
    <s v="30% ADV &amp; 70% AGAINST PI"/>
    <s v="By Road"/>
    <x v="4"/>
  </r>
  <r>
    <x v="1"/>
    <s v="GST/2324/143"/>
    <d v="2024-01-26T00:00:00"/>
    <d v="2021-12-13T00:00:00"/>
    <s v="SOF2021332"/>
    <s v="C0479"/>
    <x v="195"/>
    <x v="4"/>
    <x v="0"/>
    <s v="Chemical &amp; Fertilizers"/>
    <x v="1"/>
    <x v="4"/>
    <s v="Delhi"/>
    <s v="New Delhi"/>
    <s v="Item4004ProductOQ"/>
    <x v="3"/>
    <s v="ProductOQ"/>
    <x v="4"/>
    <s v="Branch B"/>
    <s v="RED"/>
    <s v="ROSE"/>
    <n v="10"/>
    <s v="NOS"/>
    <n v="1240"/>
    <n v="12400"/>
    <s v="INR"/>
    <n v="0.18"/>
    <n v="33049930"/>
    <n v="2230"/>
    <s v="Pramod Patange"/>
    <s v="100% AGAINST DELIVERY"/>
    <s v="By Air"/>
    <x v="2"/>
  </r>
  <r>
    <x v="1"/>
    <s v="GST/2324/144"/>
    <d v="2024-01-27T00:00:00"/>
    <d v="2021-12-13T00:00:00"/>
    <s v="SOF2021333"/>
    <s v="C0500"/>
    <x v="55"/>
    <x v="0"/>
    <x v="1"/>
    <s v="OEM's"/>
    <x v="2"/>
    <x v="1"/>
    <s v="Haryana"/>
    <s v="Faridabad"/>
    <s v="Item4004ProductWV"/>
    <x v="3"/>
    <s v="ProductWV"/>
    <x v="4"/>
    <s v="Branch C"/>
    <s v="YELLOW"/>
    <s v="SUNFLOWER"/>
    <n v="10"/>
    <s v="NOS"/>
    <n v="254"/>
    <n v="2540"/>
    <s v="INR"/>
    <n v="0.18"/>
    <n v="33041000"/>
    <n v="460"/>
    <s v="Gaurav Hinge"/>
    <s v="30 DAYS"/>
    <s v="By Road"/>
    <x v="8"/>
  </r>
  <r>
    <x v="1"/>
    <s v="GST/2324/145"/>
    <d v="2024-01-24T00:00:00"/>
    <d v="2021-12-13T00:00:00"/>
    <s v="SOF2021334"/>
    <s v="C0499"/>
    <x v="196"/>
    <x v="0"/>
    <x v="0"/>
    <s v="Power"/>
    <x v="0"/>
    <x v="0"/>
    <s v="Andhra Pradesh"/>
    <s v="Vijaywada"/>
    <s v="Item4005ProductKQ"/>
    <x v="3"/>
    <s v="ProductKQ"/>
    <x v="0"/>
    <s v="Branch A"/>
    <s v="BLUE"/>
    <s v="LILY"/>
    <n v="1000"/>
    <s v="NOS"/>
    <n v="385"/>
    <n v="385000"/>
    <s v="INR"/>
    <n v="0.18"/>
    <n v="33071010"/>
    <n v="69300"/>
    <s v="Pankaj Sawant"/>
    <s v="45 DAYS"/>
    <s v="By Air"/>
    <x v="0"/>
  </r>
  <r>
    <x v="1"/>
    <s v="GST/2324/146"/>
    <d v="2024-01-29T00:00:00"/>
    <d v="2021-12-13T00:00:00"/>
    <s v="SOF2021335"/>
    <s v="C0498"/>
    <x v="56"/>
    <x v="1"/>
    <x v="1"/>
    <s v="Oil &amp; Gas"/>
    <x v="1"/>
    <x v="4"/>
    <s v="Karnataka"/>
    <s v="Banglore"/>
    <s v="Item4001ProductDF"/>
    <x v="3"/>
    <s v="ProductDF"/>
    <x v="1"/>
    <s v="Branch B"/>
    <s v="PINK"/>
    <s v="LOTUS"/>
    <n v="30"/>
    <s v="NOS"/>
    <n v="514"/>
    <n v="15420"/>
    <s v="INR"/>
    <n v="0.18"/>
    <n v="33030050"/>
    <n v="2780"/>
    <s v="Sandeep Kunde"/>
    <s v="60 DAYS"/>
    <s v="By Vessel"/>
    <x v="1"/>
  </r>
  <r>
    <x v="1"/>
    <s v="GST/2324/147"/>
    <d v="2024-02-13T00:00:00"/>
    <d v="2021-12-17T00:00:00"/>
    <s v="SOF2021336"/>
    <s v="C0497"/>
    <x v="57"/>
    <x v="0"/>
    <x v="2"/>
    <s v="MEP / PMC"/>
    <x v="2"/>
    <x v="1"/>
    <s v="Jharkhand"/>
    <s v="Jamshedpur"/>
    <s v="Item3002ProductKL"/>
    <x v="2"/>
    <s v="ProductKL"/>
    <x v="1"/>
    <s v="Branch C"/>
    <s v="GREEN"/>
    <s v="ROSE"/>
    <n v="10"/>
    <s v="NOS"/>
    <n v="645"/>
    <n v="6450"/>
    <s v="INR"/>
    <n v="0.18"/>
    <n v="33051010"/>
    <n v="1160"/>
    <s v="Nikesh Dave"/>
    <s v="90 DAYS"/>
    <s v="By Road"/>
    <x v="6"/>
  </r>
  <r>
    <x v="1"/>
    <s v="GST/2324/148"/>
    <d v="2024-03-13T00:00:00"/>
    <d v="2021-12-18T00:00:00"/>
    <s v="SOF2021337"/>
    <s v="C0496"/>
    <x v="58"/>
    <x v="1"/>
    <x v="0"/>
    <s v="IT"/>
    <x v="0"/>
    <x v="0"/>
    <s v="Kerala"/>
    <s v="Thrissur"/>
    <s v="Item3002ProductFR"/>
    <x v="2"/>
    <s v="ProductFR"/>
    <x v="1"/>
    <s v="Branch A"/>
    <s v="WHITE"/>
    <s v="LOTUS"/>
    <n v="10"/>
    <s v="NOS"/>
    <n v="775"/>
    <n v="7750"/>
    <s v="INR"/>
    <n v="0.18"/>
    <n v="33059090"/>
    <n v="1400"/>
    <s v="Rajesh Uttarde"/>
    <s v="100% AGAINST PI"/>
    <s v="By Air"/>
    <x v="3"/>
  </r>
  <r>
    <x v="1"/>
    <s v="GST/2324/149"/>
    <d v="2024-02-19T00:00:00"/>
    <d v="2021-12-18T00:00:00"/>
    <s v="SOF2021338"/>
    <s v="C0495"/>
    <x v="59"/>
    <x v="2"/>
    <x v="1"/>
    <s v="Other Industries"/>
    <x v="0"/>
    <x v="4"/>
    <s v="Punjab"/>
    <s v="Chandigarh"/>
    <s v="Item3005ProductML"/>
    <x v="2"/>
    <s v="ProductML"/>
    <x v="1"/>
    <s v="Branch B"/>
    <s v="RED"/>
    <s v="LOTUS"/>
    <n v="20"/>
    <s v="NOS"/>
    <n v="690"/>
    <n v="13800"/>
    <s v="INR"/>
    <n v="0.18"/>
    <n v="33049930"/>
    <n v="2480"/>
    <s v="Sunil Yadav"/>
    <s v="30% ADV &amp; 70% AGAINST PI"/>
    <s v="By Vessel"/>
    <x v="7"/>
  </r>
  <r>
    <x v="1"/>
    <s v="GST/2324/150"/>
    <d v="2024-03-03T00:00:00"/>
    <d v="2021-12-18T00:00:00"/>
    <s v="SOF2021339"/>
    <s v="C0494"/>
    <x v="197"/>
    <x v="0"/>
    <x v="2"/>
    <s v="Commercial Establishment"/>
    <x v="1"/>
    <x v="1"/>
    <s v="Rajasthan"/>
    <s v="Jodhpur"/>
    <s v="Item4001ProductPO"/>
    <x v="3"/>
    <s v="ProductPO"/>
    <x v="1"/>
    <s v="Branch C"/>
    <s v="RED"/>
    <s v="ROSE"/>
    <n v="10"/>
    <s v="NOS"/>
    <n v="375"/>
    <n v="3750"/>
    <s v="INR"/>
    <n v="0.18"/>
    <n v="33041000"/>
    <n v="680"/>
    <s v="Sadashiv Shirsat"/>
    <s v="100% AGAINST DELIVERY"/>
    <s v="By Road"/>
    <x v="4"/>
  </r>
  <r>
    <x v="1"/>
    <s v="GST/2324/152"/>
    <d v="2024-02-23T00:00:00"/>
    <d v="2021-12-22T00:00:00"/>
    <s v="SOF2021341"/>
    <s v="C0492"/>
    <x v="198"/>
    <x v="0"/>
    <x v="1"/>
    <s v="Steel Plant"/>
    <x v="0"/>
    <x v="4"/>
    <s v="Telangana"/>
    <s v="Hyderabad"/>
    <s v="Item3005ProductVH"/>
    <x v="2"/>
    <s v="ProductVH"/>
    <x v="3"/>
    <s v="Branch B"/>
    <s v="YELLOW"/>
    <s v="ROSE"/>
    <n v="10"/>
    <s v="NOS"/>
    <n v="127"/>
    <n v="1270"/>
    <s v="INR"/>
    <n v="0.18"/>
    <n v="33030050"/>
    <n v="230"/>
    <s v="Ravindra Shah"/>
    <s v="45 DAYS"/>
    <s v="By Vessel"/>
    <x v="8"/>
  </r>
  <r>
    <x v="1"/>
    <s v="GST/2324/153"/>
    <d v="2024-02-23T00:00:00"/>
    <d v="2021-12-22T00:00:00"/>
    <s v="SOF2021342"/>
    <s v="C0491"/>
    <x v="199"/>
    <x v="0"/>
    <x v="1"/>
    <s v="Defence"/>
    <x v="0"/>
    <x v="1"/>
    <s v="West Bengal"/>
    <s v="Howrah"/>
    <s v="Item3001ProductRT"/>
    <x v="2"/>
    <s v="ProductRT"/>
    <x v="3"/>
    <s v="Branch C"/>
    <s v="BLUE"/>
    <s v="LOTUS"/>
    <n v="10"/>
    <s v="NOS"/>
    <n v="1550"/>
    <n v="15500"/>
    <s v="INR"/>
    <n v="0.18"/>
    <n v="33013091"/>
    <n v="2790"/>
    <s v="Vishal Patil"/>
    <s v="60 DAYS"/>
    <s v="By Road"/>
    <x v="0"/>
  </r>
  <r>
    <x v="1"/>
    <s v="GST/2324/154"/>
    <d v="2024-02-01T00:00:00"/>
    <d v="2021-12-22T00:00:00"/>
    <s v="SOF2021343"/>
    <s v="C0490"/>
    <x v="200"/>
    <x v="0"/>
    <x v="1"/>
    <s v="Coal &amp; Mines"/>
    <x v="1"/>
    <x v="3"/>
    <s v="Assam"/>
    <s v="Guwahati"/>
    <s v="Item3004ProductMK"/>
    <x v="2"/>
    <s v="ProductMK"/>
    <x v="0"/>
    <s v="Branch D"/>
    <s v="PINK"/>
    <s v="ROSE"/>
    <n v="10"/>
    <s v="NOS"/>
    <n v="11875"/>
    <n v="118750"/>
    <s v="INR"/>
    <n v="0.18"/>
    <n v="33012948"/>
    <n v="21380"/>
    <s v="Pramod Patange"/>
    <s v="90 DAYS"/>
    <s v="By Air"/>
    <x v="1"/>
  </r>
  <r>
    <x v="1"/>
    <s v="GST/2324/155"/>
    <d v="2024-02-04T00:00:00"/>
    <d v="2021-12-25T00:00:00"/>
    <s v="SOF2021344"/>
    <s v="C0489"/>
    <x v="135"/>
    <x v="0"/>
    <x v="1"/>
    <s v="Fire Protection "/>
    <x v="0"/>
    <x v="2"/>
    <s v="Assam"/>
    <s v="Guwahati"/>
    <s v="Item3005ProductVF"/>
    <x v="2"/>
    <s v="ProductVF"/>
    <x v="0"/>
    <s v="Branch E"/>
    <s v="GREEN"/>
    <s v="SUNFLOWER"/>
    <n v="10"/>
    <s v="NOS"/>
    <n v="2821"/>
    <n v="28210"/>
    <s v="INR"/>
    <n v="0.18"/>
    <n v="33013091"/>
    <n v="5080"/>
    <s v="Gaurav Hinge"/>
    <s v="100% AGAINST PI"/>
    <s v="By Vessel"/>
    <x v="6"/>
  </r>
  <r>
    <x v="1"/>
    <s v="GST/2324/156"/>
    <d v="2024-02-05T00:00:00"/>
    <d v="2021-12-26T00:00:00"/>
    <s v="SOF2021345"/>
    <s v="C0488"/>
    <x v="201"/>
    <x v="0"/>
    <x v="2"/>
    <s v="Shipping"/>
    <x v="1"/>
    <x v="0"/>
    <s v="Maharashtra"/>
    <s v="Mumbai"/>
    <s v="Item3004ProductBN"/>
    <x v="2"/>
    <s v="ProductBN"/>
    <x v="0"/>
    <s v="Branch A"/>
    <s v="RED"/>
    <s v="LILY"/>
    <n v="10"/>
    <s v="NOS"/>
    <n v="2403"/>
    <n v="24030"/>
    <s v="INR"/>
    <n v="0.18"/>
    <n v="33012948"/>
    <n v="4330"/>
    <s v="Sadashiv Shirsat"/>
    <s v="60 DAYS"/>
    <s v="By Road"/>
    <x v="3"/>
  </r>
  <r>
    <x v="1"/>
    <s v="GST/2324/157"/>
    <d v="2024-02-05T00:00:00"/>
    <d v="2021-12-26T00:00:00"/>
    <s v="SOF2021346"/>
    <s v="C0487"/>
    <x v="202"/>
    <x v="0"/>
    <x v="3"/>
    <s v="Aviation"/>
    <x v="2"/>
    <x v="4"/>
    <s v="Gujrat"/>
    <s v="Surat"/>
    <s v="Item3004ProductPG"/>
    <x v="2"/>
    <s v="ProductPG"/>
    <x v="1"/>
    <s v="Branch B"/>
    <s v="YELLOW"/>
    <s v="LOTUS"/>
    <n v="10"/>
    <s v="NOS"/>
    <n v="1550"/>
    <n v="15500"/>
    <s v="INR"/>
    <n v="0.18"/>
    <n v="33051010"/>
    <n v="2790"/>
    <s v="B. Karthikeyan"/>
    <s v="90 DAYS"/>
    <s v="By Air"/>
    <x v="7"/>
  </r>
  <r>
    <x v="1"/>
    <s v="GST/2324/158"/>
    <d v="2024-01-31T00:00:00"/>
    <d v="2021-12-26T00:00:00"/>
    <s v="SOF2021347"/>
    <s v="C0486"/>
    <x v="203"/>
    <x v="0"/>
    <x v="4"/>
    <s v="Chemical &amp; Fertilizers"/>
    <x v="0"/>
    <x v="1"/>
    <s v="Uttar Pradesh"/>
    <s v="Noida"/>
    <s v="Item3004ProductKD"/>
    <x v="2"/>
    <s v="ProductKD"/>
    <x v="1"/>
    <s v="Branch C"/>
    <s v="BLUE"/>
    <s v="ROSE"/>
    <n v="10"/>
    <s v="NOS"/>
    <n v="4000"/>
    <n v="40000"/>
    <s v="INR"/>
    <n v="0.18"/>
    <n v="33059090"/>
    <n v="7200"/>
    <s v="Ravindra Shah"/>
    <s v="100% AGAINST PI"/>
    <s v="By Vessel"/>
    <x v="4"/>
  </r>
  <r>
    <x v="1"/>
    <s v="GST/2324/159"/>
    <d v="2024-02-03T00:00:00"/>
    <d v="2021-12-29T00:00:00"/>
    <s v="SOF2021348"/>
    <s v="C0485"/>
    <x v="60"/>
    <x v="0"/>
    <x v="0"/>
    <s v="OEM's"/>
    <x v="1"/>
    <x v="3"/>
    <s v="Madhya Pradesh"/>
    <s v="Ujjain"/>
    <s v="Item2005ProductFC"/>
    <x v="4"/>
    <s v="ProductFC"/>
    <x v="1"/>
    <s v="Branch D"/>
    <s v="PINK"/>
    <s v="SUNFLOWER"/>
    <n v="10"/>
    <s v="NOS"/>
    <n v="4000"/>
    <n v="40000"/>
    <s v="INR"/>
    <n v="0.18"/>
    <n v="33049930"/>
    <n v="7200"/>
    <s v="Vishal Patil"/>
    <s v="30% ADV &amp; 70% AGAINST PI"/>
    <s v="By Road"/>
    <x v="2"/>
  </r>
  <r>
    <x v="1"/>
    <s v="GST/2324/163"/>
    <d v="2024-02-06T00:00:00"/>
    <d v="2022-01-01T00:00:00"/>
    <s v="SOF2021352"/>
    <s v="C0443"/>
    <x v="204"/>
    <x v="0"/>
    <x v="0"/>
    <s v="Oil &amp; Gas"/>
    <x v="2"/>
    <x v="3"/>
    <s v="Goa"/>
    <s v="Ponda"/>
    <s v="Item3001ProductJK"/>
    <x v="2"/>
    <s v="ProductJK"/>
    <x v="3"/>
    <s v="Branch D"/>
    <s v="YELLOW"/>
    <s v="LOTUS"/>
    <n v="10"/>
    <s v="NOS"/>
    <n v="400"/>
    <n v="4000"/>
    <s v="INR"/>
    <n v="0.18"/>
    <n v="33051010"/>
    <n v="720"/>
    <s v="B. Karthikeyan"/>
    <s v="90 DAYS"/>
    <s v="By Vessel"/>
    <x v="6"/>
  </r>
  <r>
    <x v="1"/>
    <s v="GST/2324/164"/>
    <d v="2024-02-06T00:00:00"/>
    <d v="2022-01-01T00:00:00"/>
    <s v="SOF2021353"/>
    <s v="C0445"/>
    <x v="205"/>
    <x v="1"/>
    <x v="1"/>
    <s v="MEP / PMC"/>
    <x v="0"/>
    <x v="2"/>
    <s v="Goa"/>
    <s v="Mapusa"/>
    <s v="Item3004ProductPR"/>
    <x v="2"/>
    <s v="ProductPR"/>
    <x v="3"/>
    <s v="Branch E"/>
    <s v="BLUE"/>
    <s v="ROSE"/>
    <n v="10"/>
    <s v="LTR"/>
    <n v="400"/>
    <n v="4000"/>
    <s v="INR"/>
    <n v="0.18"/>
    <n v="33059090"/>
    <n v="720"/>
    <s v="Ravindra Shah"/>
    <s v="100% AGAINST PI"/>
    <s v="By Vessel"/>
    <x v="3"/>
  </r>
  <r>
    <x v="1"/>
    <s v="GST/2324/165"/>
    <d v="2024-02-09T00:00:00"/>
    <d v="2022-01-04T00:00:00"/>
    <s v="SOF2021354"/>
    <s v="C0444"/>
    <x v="87"/>
    <x v="2"/>
    <x v="2"/>
    <s v="IT"/>
    <x v="0"/>
    <x v="0"/>
    <s v="Karnataka"/>
    <s v="Mysore"/>
    <s v="Item2004ProductFI"/>
    <x v="4"/>
    <s v="ProductFI"/>
    <x v="0"/>
    <s v="Branch A"/>
    <s v="PINK"/>
    <s v="LOTUS"/>
    <n v="10"/>
    <s v="NOS"/>
    <n v="400"/>
    <n v="4000"/>
    <s v="INR"/>
    <n v="0.18"/>
    <n v="33049930"/>
    <n v="720"/>
    <s v="Vishal Patil"/>
    <s v="30% ADV &amp; 70% AGAINST PI"/>
    <s v="By Vessel"/>
    <x v="0"/>
  </r>
  <r>
    <x v="1"/>
    <s v="GST/2324/166"/>
    <d v="2024-02-10T00:00:00"/>
    <d v="2022-01-05T00:00:00"/>
    <s v="SOF2021355"/>
    <s v="C0446"/>
    <x v="88"/>
    <x v="4"/>
    <x v="3"/>
    <s v="Other Industries"/>
    <x v="1"/>
    <x v="4"/>
    <s v="Karnataka"/>
    <s v="Banglore"/>
    <s v="Item3003ProductPV"/>
    <x v="2"/>
    <s v="ProductPV"/>
    <x v="0"/>
    <s v="Branch B"/>
    <s v="GREEN"/>
    <s v="ROSE"/>
    <n v="10"/>
    <s v="NOS"/>
    <n v="400"/>
    <n v="4000"/>
    <s v="INR"/>
    <n v="0.18"/>
    <n v="33041000"/>
    <n v="720"/>
    <s v="Pramod Patange"/>
    <s v="100% AGAINST DELIVERY"/>
    <s v="By Vessel"/>
    <x v="1"/>
  </r>
  <r>
    <x v="1"/>
    <s v="GST/2324/167"/>
    <d v="2024-02-11T00:00:00"/>
    <d v="2022-01-06T00:00:00"/>
    <s v="SOF2021356"/>
    <s v="C0447"/>
    <x v="89"/>
    <x v="3"/>
    <x v="4"/>
    <s v="Commercial Establishment"/>
    <x v="0"/>
    <x v="1"/>
    <s v="Karnataka"/>
    <s v="Banglore"/>
    <s v="Item2004ProductFH"/>
    <x v="4"/>
    <s v="ProductFH"/>
    <x v="4"/>
    <s v="Branch C"/>
    <s v="RED"/>
    <s v="LOTUS"/>
    <n v="10"/>
    <s v="NOS"/>
    <n v="1050"/>
    <n v="10500"/>
    <s v="INR"/>
    <n v="0.18"/>
    <n v="33071010"/>
    <n v="1890"/>
    <s v="Gaurav Hinge"/>
    <s v="30 DAYS"/>
    <s v="By Air"/>
    <x v="6"/>
  </r>
  <r>
    <x v="1"/>
    <s v="GST/2324/168"/>
    <d v="2024-02-01T00:00:00"/>
    <d v="2022-01-07T00:00:00"/>
    <s v="SOF2021357"/>
    <s v="C0449"/>
    <x v="90"/>
    <x v="0"/>
    <x v="4"/>
    <s v="Railways"/>
    <x v="0"/>
    <x v="3"/>
    <s v="Karnataka"/>
    <s v="Banglore"/>
    <s v="Item2004ProductFG"/>
    <x v="4"/>
    <s v="ProductFG"/>
    <x v="4"/>
    <s v="Branch D"/>
    <s v="YELLOW"/>
    <s v="ROSE"/>
    <n v="10"/>
    <s v="SET"/>
    <n v="42500"/>
    <n v="425000"/>
    <s v="INR"/>
    <n v="0.18"/>
    <n v="33030050"/>
    <n v="76500"/>
    <s v="Pankaj Sawant"/>
    <s v="45 DAYS"/>
    <s v="By Air"/>
    <x v="3"/>
  </r>
  <r>
    <x v="1"/>
    <s v="GST/2324/170"/>
    <d v="2024-02-08T00:00:00"/>
    <d v="2022-01-09T00:00:00"/>
    <s v="SOF2021359"/>
    <s v="C0461"/>
    <x v="136"/>
    <x v="2"/>
    <x v="2"/>
    <s v="Defence"/>
    <x v="1"/>
    <x v="4"/>
    <s v="Karnataka"/>
    <s v="Banglore"/>
    <s v="Item3003ProductOP"/>
    <x v="2"/>
    <s v="ProductOP"/>
    <x v="0"/>
    <s v="Branch B"/>
    <s v="RED"/>
    <s v="LILY"/>
    <n v="10"/>
    <s v="NOS"/>
    <n v="131"/>
    <n v="1310"/>
    <s v="INR"/>
    <n v="0.18"/>
    <n v="33012948"/>
    <n v="240"/>
    <s v="Nikesh Dave"/>
    <s v="90 DAYS"/>
    <s v="By Air"/>
    <x v="4"/>
  </r>
  <r>
    <x v="1"/>
    <s v="GST/2324/171"/>
    <d v="2024-02-09T00:00:00"/>
    <d v="2022-01-10T00:00:00"/>
    <s v="SOF2021360"/>
    <s v="C0460"/>
    <x v="137"/>
    <x v="4"/>
    <x v="2"/>
    <s v="Coal &amp; Mines"/>
    <x v="0"/>
    <x v="1"/>
    <s v="Karnataka"/>
    <s v="Banglore"/>
    <s v="Item2004ProductFA"/>
    <x v="4"/>
    <s v="ProductFA"/>
    <x v="1"/>
    <s v="Branch C"/>
    <s v="YELLOW"/>
    <s v="LOTUS"/>
    <n v="40"/>
    <s v="NOS"/>
    <n v="450"/>
    <n v="18000"/>
    <s v="INR"/>
    <n v="0.18"/>
    <n v="33013091"/>
    <n v="3240"/>
    <s v="Rajesh Uttarde"/>
    <s v="100% AGAINST PI"/>
    <s v="By Road"/>
    <x v="2"/>
  </r>
  <r>
    <x v="1"/>
    <s v="GST/2324/173"/>
    <d v="2024-02-04T00:00:00"/>
    <d v="2022-01-10T00:00:00"/>
    <s v="SOF2021362"/>
    <s v="C0458"/>
    <x v="139"/>
    <x v="0"/>
    <x v="2"/>
    <s v="Oil &amp; Gas"/>
    <x v="2"/>
    <x v="4"/>
    <s v="Karnataka"/>
    <s v="Banglore"/>
    <s v="Item1002ProductAF"/>
    <x v="0"/>
    <s v="ProductAF"/>
    <x v="1"/>
    <s v="Branch B"/>
    <s v="PINK"/>
    <s v="SUNFLOWER"/>
    <n v="10"/>
    <s v="NOS"/>
    <n v="370"/>
    <n v="3700"/>
    <s v="INR"/>
    <n v="0.18"/>
    <n v="33051010"/>
    <n v="670"/>
    <s v="Sadashiv Shirsat"/>
    <s v="90 DAYS"/>
    <s v="By Road"/>
    <x v="0"/>
  </r>
  <r>
    <x v="1"/>
    <s v="GST/2324/175"/>
    <d v="2024-02-08T00:00:00"/>
    <d v="2022-01-14T00:00:00"/>
    <s v="SOF2021364"/>
    <s v="C0456"/>
    <x v="141"/>
    <x v="2"/>
    <x v="1"/>
    <s v="IT"/>
    <x v="1"/>
    <x v="3"/>
    <s v="Haryana"/>
    <s v="Faridabad"/>
    <s v="Item1003ProductBA"/>
    <x v="0"/>
    <s v="ProductBA"/>
    <x v="0"/>
    <s v="Branch D"/>
    <s v="WHITE"/>
    <s v="LOTUS"/>
    <n v="10"/>
    <s v="NOS"/>
    <n v="3050"/>
    <n v="30500"/>
    <s v="INR"/>
    <n v="0.18"/>
    <n v="33049930"/>
    <n v="5490"/>
    <s v="Ravindra Shah"/>
    <s v="30% ADV &amp; 70% AGAINST PI"/>
    <s v="By Air"/>
    <x v="6"/>
  </r>
  <r>
    <x v="1"/>
    <s v="GST/2324/176"/>
    <d v="2024-02-09T00:00:00"/>
    <d v="2022-01-15T00:00:00"/>
    <s v="SOF2021365"/>
    <s v="C0455"/>
    <x v="142"/>
    <x v="4"/>
    <x v="4"/>
    <s v="Other Industries"/>
    <x v="0"/>
    <x v="0"/>
    <s v="Haryana"/>
    <s v="Faridabad"/>
    <s v="Item1003ProductBB"/>
    <x v="0"/>
    <s v="ProductBB"/>
    <x v="1"/>
    <s v="Branch A"/>
    <s v="RED"/>
    <s v="LOTUS"/>
    <n v="10"/>
    <s v="NOS"/>
    <n v="2520"/>
    <n v="25200"/>
    <s v="INR"/>
    <n v="0.18"/>
    <n v="33041000"/>
    <n v="4540"/>
    <s v="Vishal Patil"/>
    <s v="30 DAYS"/>
    <s v="By Road"/>
    <x v="3"/>
  </r>
  <r>
    <x v="1"/>
    <s v="GST/2324/177"/>
    <d v="2024-02-09T00:00:00"/>
    <d v="2022-01-15T00:00:00"/>
    <s v="SOF2021366"/>
    <s v="C0454"/>
    <x v="143"/>
    <x v="3"/>
    <x v="2"/>
    <s v="Commercial Establishment"/>
    <x v="1"/>
    <x v="4"/>
    <s v="Maharashtra"/>
    <s v="Mumbai"/>
    <s v="Item1003ProductBC"/>
    <x v="0"/>
    <s v="ProductBC"/>
    <x v="1"/>
    <s v="Branch B"/>
    <s v="YELLOW"/>
    <s v="ROSE"/>
    <n v="20"/>
    <s v="NOS"/>
    <n v="675"/>
    <n v="13500"/>
    <s v="INR"/>
    <n v="0.18"/>
    <n v="33071010"/>
    <n v="2430"/>
    <s v="Pankaj Sawant"/>
    <s v="45 DAYS"/>
    <s v="By Air"/>
    <x v="7"/>
  </r>
  <r>
    <x v="1"/>
    <s v="GST/2324/178"/>
    <d v="2024-02-15T00:00:00"/>
    <d v="2022-01-15T00:00:00"/>
    <s v="SOF2021367"/>
    <s v="C0453"/>
    <x v="144"/>
    <x v="0"/>
    <x v="4"/>
    <s v="Railways"/>
    <x v="2"/>
    <x v="1"/>
    <s v="Gujrat"/>
    <s v="Surat"/>
    <s v="Item1003ProductBD"/>
    <x v="0"/>
    <s v="ProductBD"/>
    <x v="1"/>
    <s v="Branch C"/>
    <s v="BLUE"/>
    <s v="SUNFLOWER"/>
    <n v="20"/>
    <s v="NOS"/>
    <n v="6195"/>
    <n v="123900"/>
    <s v="INR"/>
    <n v="0.18"/>
    <n v="33030050"/>
    <n v="22300"/>
    <s v="Sandeep Kunde"/>
    <s v="60 DAYS"/>
    <s v="By Vessel"/>
    <x v="4"/>
  </r>
  <r>
    <x v="1"/>
    <s v="GST/2324/179"/>
    <d v="2024-02-16T00:00:00"/>
    <d v="2022-01-15T00:00:00"/>
    <s v="SOF2021368"/>
    <s v="C0452"/>
    <x v="145"/>
    <x v="1"/>
    <x v="0"/>
    <s v="Steel Plant"/>
    <x v="2"/>
    <x v="3"/>
    <s v="Uttar Pradesh"/>
    <s v="Varanasi"/>
    <s v="Item3003ProductAl"/>
    <x v="2"/>
    <s v="ProductAl"/>
    <x v="1"/>
    <s v="Branch D"/>
    <s v="PINK"/>
    <s v="LILY"/>
    <n v="10"/>
    <s v="NOS"/>
    <n v="2325"/>
    <n v="23250"/>
    <s v="INR"/>
    <n v="0.18"/>
    <n v="33051010"/>
    <n v="4190"/>
    <s v="Nikesh Dave"/>
    <s v="90 DAYS"/>
    <s v="By Road"/>
    <x v="2"/>
  </r>
  <r>
    <x v="1"/>
    <s v="GST/2324/180"/>
    <d v="2024-02-21T00:00:00"/>
    <d v="2022-01-19T00:00:00"/>
    <s v="SOF2021369"/>
    <s v="C0451"/>
    <x v="146"/>
    <x v="2"/>
    <x v="1"/>
    <s v="Defence"/>
    <x v="0"/>
    <x v="2"/>
    <s v="Madhya Pradesh"/>
    <s v="Ujjain"/>
    <s v="Item2004ProductZX"/>
    <x v="4"/>
    <s v="ProductZX"/>
    <x v="1"/>
    <s v="Branch E"/>
    <s v="RED"/>
    <s v="LOTUS"/>
    <n v="10"/>
    <s v="NOS"/>
    <n v="150"/>
    <n v="1500"/>
    <s v="INR"/>
    <n v="0.18"/>
    <n v="33059090"/>
    <n v="270"/>
    <s v="Rajesh Uttarde"/>
    <s v="100% AGAINST PI"/>
    <s v="By Air"/>
    <x v="8"/>
  </r>
  <r>
    <x v="1"/>
    <s v="GST/2324/183"/>
    <d v="2024-02-27T00:00:00"/>
    <d v="2022-01-19T00:00:00"/>
    <s v="SOF2021372"/>
    <s v="C0465"/>
    <x v="206"/>
    <x v="2"/>
    <x v="4"/>
    <s v="Shipping"/>
    <x v="1"/>
    <x v="1"/>
    <s v="Andhra Pradesh"/>
    <s v="Vijaywada"/>
    <s v="Item1001ProductAC"/>
    <x v="0"/>
    <s v="ProductAC"/>
    <x v="3"/>
    <s v="Branch C"/>
    <s v="PINK"/>
    <s v="LOTUS"/>
    <n v="60"/>
    <s v="NOS"/>
    <n v="4606"/>
    <n v="276360"/>
    <s v="INR"/>
    <n v="0.18"/>
    <n v="33071010"/>
    <n v="49740"/>
    <s v="B. Karthikeyan"/>
    <s v="30 DAYS"/>
    <s v="By Air"/>
    <x v="6"/>
  </r>
  <r>
    <x v="1"/>
    <s v="GST/2324/184"/>
    <d v="2024-02-28T00:00:00"/>
    <d v="2022-01-19T00:00:00"/>
    <s v="SOF2021373"/>
    <s v="C0464"/>
    <x v="207"/>
    <x v="2"/>
    <x v="4"/>
    <s v="Aviation"/>
    <x v="2"/>
    <x v="3"/>
    <s v="Karnataka"/>
    <s v="Banglore"/>
    <s v="Item1001ProductAD"/>
    <x v="0"/>
    <s v="ProductAD"/>
    <x v="0"/>
    <s v="Branch D"/>
    <s v="GREEN"/>
    <s v="ROSE"/>
    <n v="200"/>
    <s v="NOS"/>
    <n v="5"/>
    <n v="1080"/>
    <s v="INR"/>
    <n v="0.18"/>
    <n v="33030050"/>
    <n v="190"/>
    <s v="Ravindra Shah"/>
    <s v="45 DAYS"/>
    <s v="By Vessel"/>
    <x v="3"/>
  </r>
  <r>
    <x v="1"/>
    <s v="GST/2324/186"/>
    <d v="2024-03-10T00:00:00"/>
    <d v="2022-02-09T00:00:00"/>
    <s v="SOF2021392"/>
    <s v="C0043"/>
    <x v="1"/>
    <x v="1"/>
    <x v="1"/>
    <s v="Oil &amp; Gas"/>
    <x v="1"/>
    <x v="4"/>
    <s v="Gujrat"/>
    <s v="Ahmedabad"/>
    <s v="Item5001ProductRP"/>
    <x v="1"/>
    <s v="ProductRP"/>
    <x v="3"/>
    <s v="Branch B"/>
    <s v="RED"/>
    <s v="SUNFLOWER"/>
    <n v="10"/>
    <s v="NOS"/>
    <n v="15000"/>
    <n v="150000"/>
    <s v="INR"/>
    <n v="0.18"/>
    <n v="33030050"/>
    <n v="27000"/>
    <s v="Pramod Patange"/>
    <s v="90 DAYS"/>
    <s v="By Road"/>
    <x v="6"/>
  </r>
  <r>
    <x v="1"/>
    <s v="GST/2324/187"/>
    <d v="2024-03-01T00:00:00"/>
    <d v="2022-02-09T00:00:00"/>
    <s v="SOF2021393"/>
    <s v="C0052"/>
    <x v="208"/>
    <x v="2"/>
    <x v="2"/>
    <s v="MEP / PMC"/>
    <x v="2"/>
    <x v="1"/>
    <s v="Uttar Pradesh"/>
    <s v="Lucknow"/>
    <s v="Item5001ProductUT"/>
    <x v="1"/>
    <s v="ProductUT"/>
    <x v="0"/>
    <s v="Branch C"/>
    <s v="RED"/>
    <s v="LOTUS"/>
    <n v="40"/>
    <s v="NOS"/>
    <n v="15000"/>
    <n v="600000"/>
    <s v="INR"/>
    <n v="0.18"/>
    <n v="33051010"/>
    <n v="108000"/>
    <s v="Gaurav Hinge"/>
    <s v="100% AGAINST PI"/>
    <s v="By Road"/>
    <x v="3"/>
  </r>
  <r>
    <x v="1"/>
    <s v="GST/2324/188"/>
    <d v="2024-03-01T00:00:00"/>
    <d v="2022-02-09T00:00:00"/>
    <s v="SOF2021394"/>
    <s v="C0045"/>
    <x v="34"/>
    <x v="4"/>
    <x v="3"/>
    <s v="IT"/>
    <x v="0"/>
    <x v="3"/>
    <s v="Madhya Pradesh"/>
    <s v="Indore"/>
    <s v="Item5001ProductTA"/>
    <x v="1"/>
    <s v="ProductTA"/>
    <x v="0"/>
    <s v="Branch D"/>
    <s v="YELLOW"/>
    <s v="ROSE"/>
    <n v="10"/>
    <s v="NOS"/>
    <n v="15000"/>
    <n v="150000"/>
    <s v="INR"/>
    <n v="0.18"/>
    <n v="33059090"/>
    <n v="27000"/>
    <s v="Sadashiv Shirsat"/>
    <s v="60 DAYS"/>
    <s v="By Road"/>
    <x v="7"/>
  </r>
  <r>
    <x v="1"/>
    <s v="GST/2324/189"/>
    <d v="2024-03-06T00:00:00"/>
    <d v="2022-02-14T00:00:00"/>
    <s v="SOF2021395"/>
    <s v="C0044"/>
    <x v="209"/>
    <x v="3"/>
    <x v="4"/>
    <s v="Other Industries"/>
    <x v="0"/>
    <x v="2"/>
    <s v="Delhi"/>
    <s v="New Delhi"/>
    <s v="Item5001ProductLT"/>
    <x v="1"/>
    <s v="ProductLT"/>
    <x v="4"/>
    <s v="Branch E"/>
    <s v="BLUE"/>
    <s v="SUNFLOWER"/>
    <n v="50"/>
    <s v="NOS"/>
    <n v="100"/>
    <n v="5000"/>
    <s v="INR"/>
    <n v="0.18"/>
    <n v="33049930"/>
    <n v="900"/>
    <s v="B. Karthikeyan"/>
    <s v="90 DAYS"/>
    <s v="By Air"/>
    <x v="4"/>
  </r>
  <r>
    <x v="1"/>
    <s v="GST/2324/190"/>
    <d v="2024-03-07T00:00:00"/>
    <d v="2022-02-15T00:00:00"/>
    <s v="SOF2021396"/>
    <s v="C0051"/>
    <x v="210"/>
    <x v="0"/>
    <x v="0"/>
    <s v="Commercial Establishment"/>
    <x v="1"/>
    <x v="0"/>
    <s v="Haryana"/>
    <s v="Gurgaon"/>
    <s v="Item5002ProductVA"/>
    <x v="1"/>
    <s v="ProductVA"/>
    <x v="4"/>
    <s v="Branch A"/>
    <s v="PINK"/>
    <s v="LOTUS"/>
    <n v="20"/>
    <s v="NOS"/>
    <n v="4095"/>
    <n v="81900"/>
    <s v="INR"/>
    <n v="0.18"/>
    <n v="33041000"/>
    <n v="14740"/>
    <s v="Ravindra Shah"/>
    <s v="100% AGAINST PI"/>
    <s v="By Road"/>
    <x v="2"/>
  </r>
  <r>
    <x v="1"/>
    <s v="GST/2324/191"/>
    <d v="2024-03-19T00:00:00"/>
    <d v="2022-02-16T00:00:00"/>
    <s v="SOF2021397"/>
    <s v="C0050"/>
    <x v="2"/>
    <x v="1"/>
    <x v="1"/>
    <s v="Railways"/>
    <x v="0"/>
    <x v="0"/>
    <s v="Andhra Pradesh"/>
    <s v="Kadapa"/>
    <s v="Item5002ProductZp"/>
    <x v="1"/>
    <s v="ProductZp"/>
    <x v="4"/>
    <s v="Branch A"/>
    <s v="GREEN"/>
    <s v="ROSE"/>
    <n v="10"/>
    <s v="NOS"/>
    <n v="4949"/>
    <n v="49490"/>
    <s v="INR"/>
    <n v="0.18"/>
    <n v="33071010"/>
    <n v="8910"/>
    <s v="Pankaj Sawant"/>
    <s v="30% ADV &amp; 70% AGAINST PI"/>
    <s v="By Air"/>
    <x v="8"/>
  </r>
  <r>
    <x v="1"/>
    <s v="GST/2324/192"/>
    <d v="2024-03-11T00:00:00"/>
    <d v="2022-02-17T00:00:00"/>
    <s v="SOF2021398"/>
    <s v="C0049"/>
    <x v="35"/>
    <x v="0"/>
    <x v="0"/>
    <s v="Steel Plant"/>
    <x v="0"/>
    <x v="0"/>
    <s v="Karnataka"/>
    <s v="Manglore"/>
    <s v="Item4003ProductTY"/>
    <x v="3"/>
    <s v="ProductTY"/>
    <x v="0"/>
    <s v="Branch A"/>
    <s v="RED"/>
    <s v="LOTUS"/>
    <n v="10"/>
    <s v="NOS"/>
    <n v="250"/>
    <n v="2500"/>
    <s v="INR"/>
    <n v="0.18"/>
    <n v="33030050"/>
    <n v="450"/>
    <s v="Sandeep Kunde"/>
    <s v="100% AGAINST DELIVERY"/>
    <s v="By Vessel"/>
    <x v="0"/>
  </r>
  <r>
    <x v="1"/>
    <s v="GST/2324/193"/>
    <d v="2024-03-13T00:00:00"/>
    <d v="2022-02-18T00:00:00"/>
    <s v="SOF2021399"/>
    <s v="C0055"/>
    <x v="3"/>
    <x v="1"/>
    <x v="1"/>
    <s v="Defence"/>
    <x v="0"/>
    <x v="0"/>
    <s v="Jharkhand"/>
    <s v="Dhanbad"/>
    <s v="Item4004ProductQP"/>
    <x v="3"/>
    <s v="ProductQP"/>
    <x v="1"/>
    <s v="Branch A"/>
    <s v="YELLOW"/>
    <s v="ROSE"/>
    <n v="20"/>
    <s v="NOS"/>
    <n v="2874"/>
    <n v="57490"/>
    <s v="INR"/>
    <n v="0.18"/>
    <n v="33013091"/>
    <n v="10350"/>
    <s v="Nikesh Dave"/>
    <s v="30 DAYS"/>
    <s v="By Road"/>
    <x v="1"/>
  </r>
  <r>
    <x v="1"/>
    <s v="GST/2324/195"/>
    <d v="2024-03-14T00:00:00"/>
    <d v="2022-02-19T00:00:00"/>
    <s v="SOF2021401"/>
    <s v="C0009"/>
    <x v="37"/>
    <x v="1"/>
    <x v="1"/>
    <s v="Fire Protection "/>
    <x v="0"/>
    <x v="4"/>
    <s v="Punjab"/>
    <s v="Jalandhar"/>
    <s v="Item4004ProductWV"/>
    <x v="3"/>
    <s v="ProductWV"/>
    <x v="1"/>
    <s v="Branch B"/>
    <s v="PINK"/>
    <s v="ROSE"/>
    <n v="30"/>
    <s v="NOS"/>
    <n v="49"/>
    <n v="1460"/>
    <s v="INR"/>
    <n v="0.18"/>
    <n v="33013091"/>
    <n v="260"/>
    <s v="Sunil Yadav"/>
    <s v="60 DAYS"/>
    <s v="By Vessel"/>
    <x v="3"/>
  </r>
  <r>
    <x v="1"/>
    <s v="GST/2324/196"/>
    <d v="2024-03-31T00:00:00"/>
    <d v="2022-02-19T00:00:00"/>
    <s v="SOF2021402"/>
    <s v="C0008"/>
    <x v="4"/>
    <x v="0"/>
    <x v="0"/>
    <s v="Shipping"/>
    <x v="1"/>
    <x v="1"/>
    <s v="Rajasthan"/>
    <s v="Jaipur"/>
    <s v="Item4005ProductKQ"/>
    <x v="3"/>
    <s v="ProductKQ"/>
    <x v="1"/>
    <s v="Branch C"/>
    <s v="GREEN"/>
    <s v="SUNFLOWER"/>
    <n v="10"/>
    <s v="NOS"/>
    <n v="1068"/>
    <n v="10680"/>
    <s v="INR"/>
    <n v="0.18"/>
    <n v="33012948"/>
    <n v="1920"/>
    <s v="Sadashiv Shirsat"/>
    <s v="90 DAYS"/>
    <s v="By Road"/>
    <x v="7"/>
  </r>
  <r>
    <x v="1"/>
    <s v="GST/2324/197"/>
    <d v="2024-03-12T00:00:00"/>
    <d v="2022-02-19T00:00:00"/>
    <s v="SOF2021403"/>
    <s v="C0007"/>
    <x v="38"/>
    <x v="1"/>
    <x v="1"/>
    <s v="Aviation"/>
    <x v="2"/>
    <x v="0"/>
    <s v="Tamilnadu"/>
    <s v="Chennai"/>
    <s v="Item4005ProductRQ"/>
    <x v="3"/>
    <s v="ProductRQ"/>
    <x v="1"/>
    <s v="Branch A"/>
    <s v="RED"/>
    <s v="LOTUS"/>
    <n v="20"/>
    <s v="NOS"/>
    <n v="708"/>
    <n v="14150"/>
    <s v="INR"/>
    <n v="0.18"/>
    <n v="33051010"/>
    <n v="2550"/>
    <s v="B. Karthikeyan"/>
    <s v="100% AGAINST PI"/>
    <s v="By Air"/>
    <x v="4"/>
  </r>
  <r>
    <x v="1"/>
    <s v="GST/2324/198"/>
    <d v="2024-03-31T00:00:00"/>
    <d v="2022-02-19T00:00:00"/>
    <s v="SOF2021404"/>
    <s v="C0005"/>
    <x v="134"/>
    <x v="2"/>
    <x v="2"/>
    <s v="Chemical &amp; Fertilizers"/>
    <x v="0"/>
    <x v="4"/>
    <s v="Telangana"/>
    <s v="Hyderabad"/>
    <s v="Item4005ProductRH"/>
    <x v="3"/>
    <s v="ProductRH"/>
    <x v="2"/>
    <s v="Branch B"/>
    <s v="RED"/>
    <s v="ROSE"/>
    <n v="10"/>
    <s v="NOS"/>
    <n v="2129"/>
    <n v="21290"/>
    <s v="INR"/>
    <n v="0.18"/>
    <n v="33059090"/>
    <n v="3830"/>
    <s v="Ravindra Shah"/>
    <s v="30% ADV &amp; 70% AGAINST PI"/>
    <s v="By Vessel"/>
    <x v="2"/>
  </r>
  <r>
    <x v="1"/>
    <s v="GST/2324/199"/>
    <d v="2024-03-27T00:00:00"/>
    <d v="2022-02-28T00:00:00"/>
    <s v="SOF2021464"/>
    <s v="C0308"/>
    <x v="211"/>
    <x v="1"/>
    <x v="2"/>
    <s v="Power"/>
    <x v="2"/>
    <x v="0"/>
    <s v="Maharashtra"/>
    <s v="Nashik"/>
    <s v="Item1005ProductDE"/>
    <x v="0"/>
    <s v="ProductDE"/>
    <x v="0"/>
    <s v="Branch A"/>
    <s v="YELLOW"/>
    <s v="LOTUS"/>
    <n v="20"/>
    <s v="NOS"/>
    <n v="839"/>
    <n v="16770"/>
    <s v="INR"/>
    <n v="0.18"/>
    <n v="33059090"/>
    <n v="3020"/>
    <s v="Gaurav Hinge"/>
    <s v="30% ADV &amp; 70% AGAINST PI"/>
    <s v="By Air"/>
    <x v="1"/>
  </r>
  <r>
    <x v="1"/>
    <s v="GST/2324/201"/>
    <d v="2024-03-30T00:00:00"/>
    <d v="2022-03-01T00:00:00"/>
    <s v="SOF2021466"/>
    <s v="C0321"/>
    <x v="212"/>
    <x v="4"/>
    <x v="2"/>
    <s v="MEP / PMC"/>
    <x v="1"/>
    <x v="1"/>
    <s v="Maharashtra"/>
    <s v="Nagpur"/>
    <s v="Item2001ProductEE"/>
    <x v="4"/>
    <s v="ProductEE"/>
    <x v="4"/>
    <s v="Branch C"/>
    <s v="RED"/>
    <s v="LOTUS"/>
    <n v="10"/>
    <s v="NOS"/>
    <n v="585"/>
    <n v="5850"/>
    <s v="INR"/>
    <n v="0.18"/>
    <n v="33051010"/>
    <n v="1050"/>
    <s v="B. Karthikeyan"/>
    <s v="45 DAYS"/>
    <s v="By Road"/>
    <x v="3"/>
  </r>
  <r>
    <x v="1"/>
    <s v="GST/2324/202"/>
    <d v="2024-03-31T00:00:00"/>
    <d v="2022-03-01T00:00:00"/>
    <s v="SOF2021467"/>
    <s v="C0320"/>
    <x v="213"/>
    <x v="0"/>
    <x v="0"/>
    <s v="IT"/>
    <x v="2"/>
    <x v="0"/>
    <s v="Maharashtra"/>
    <s v="Nagpur"/>
    <s v="Item2001ProductEF"/>
    <x v="4"/>
    <s v="ProductEF"/>
    <x v="4"/>
    <s v="Branch A"/>
    <s v="YELLOW"/>
    <s v="LOTUS"/>
    <n v="10"/>
    <s v="NOS"/>
    <n v="218"/>
    <n v="2180"/>
    <s v="INR"/>
    <n v="0.18"/>
    <n v="33059090"/>
    <n v="390"/>
    <s v="Ravindra Shah"/>
    <s v="60 DAYS"/>
    <s v="By Air"/>
    <x v="0"/>
  </r>
  <r>
    <x v="1"/>
    <s v="GST/2324/203"/>
    <d v="2024-03-31T00:00:00"/>
    <d v="2022-03-01T00:00:00"/>
    <s v="SOF2021468"/>
    <s v="C0319"/>
    <x v="214"/>
    <x v="0"/>
    <x v="1"/>
    <s v="Other Industries"/>
    <x v="0"/>
    <x v="4"/>
    <s v="Goa"/>
    <s v="Ponda"/>
    <s v="Item2001ProductEG"/>
    <x v="4"/>
    <s v="ProductEG"/>
    <x v="4"/>
    <s v="Branch B"/>
    <s v="BLUE"/>
    <s v="ROSE"/>
    <n v="20"/>
    <s v="NOS"/>
    <n v="62"/>
    <n v="1250"/>
    <s v="INR"/>
    <n v="0.18"/>
    <n v="33049930"/>
    <n v="220"/>
    <s v="Vishal Patil"/>
    <s v="90 DAYS"/>
    <s v="By Vessel"/>
    <x v="1"/>
  </r>
  <r>
    <x v="1"/>
    <s v="GST/2324/204"/>
    <d v="2024-03-31T00:00:00"/>
    <d v="2022-03-01T00:00:00"/>
    <s v="SOF2021469"/>
    <s v="C0318"/>
    <x v="133"/>
    <x v="1"/>
    <x v="2"/>
    <s v="Commercial Establishment"/>
    <x v="1"/>
    <x v="1"/>
    <s v="Goa"/>
    <s v="Mapusa"/>
    <s v="Item1004ProductDA"/>
    <x v="0"/>
    <s v="ProductDA"/>
    <x v="0"/>
    <s v="Branch C"/>
    <s v="PINK"/>
    <s v="LOTUS"/>
    <n v="10"/>
    <s v="NOS"/>
    <n v="2399"/>
    <n v="23990"/>
    <s v="INR"/>
    <n v="0.18"/>
    <n v="33041000"/>
    <n v="4320"/>
    <s v="Pankaj Sawant"/>
    <s v="100% AGAINST PI"/>
    <s v="By Road"/>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A3F9D6-7628-4203-A616-C57DBD9893FD}" name="PivotTable8"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by Segmentation">
  <location ref="D14:E18" firstHeaderRow="1" firstDataRow="1" firstDataCol="1"/>
  <pivotFields count="33">
    <pivotField showAll="0">
      <items count="3">
        <item x="0"/>
        <item x="1"/>
        <item t="default"/>
      </items>
    </pivotField>
    <pivotField showAll="0"/>
    <pivotField numFmtId="14" showAll="0"/>
    <pivotField numFmtId="14" showAll="0"/>
    <pivotField showAll="0"/>
    <pivotField showAll="0"/>
    <pivotField showAll="0"/>
    <pivotField showAll="0" sortType="descending">
      <items count="6">
        <item x="3"/>
        <item x="4"/>
        <item x="0"/>
        <item x="2"/>
        <item x="1"/>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4">
        <item x="0"/>
        <item x="1"/>
        <item x="2"/>
        <item t="default"/>
      </items>
    </pivotField>
    <pivotField showAll="0">
      <items count="6">
        <item x="4"/>
        <item x="3"/>
        <item x="0"/>
        <item x="2"/>
        <item x="1"/>
        <item t="default"/>
      </items>
    </pivotField>
    <pivotField showAll="0"/>
    <pivotField showAll="0"/>
    <pivotField showAll="0"/>
    <pivotField showAll="0"/>
    <pivotField showAll="0"/>
    <pivotField showAll="0">
      <items count="6">
        <item x="0"/>
        <item x="2"/>
        <item x="1"/>
        <item x="3"/>
        <item x="4"/>
        <item t="default"/>
      </items>
    </pivotField>
    <pivotField showAll="0"/>
    <pivotField showAll="0"/>
    <pivotField showAll="0"/>
    <pivotField showAll="0"/>
    <pivotField showAll="0"/>
    <pivotField showAll="0"/>
    <pivotField dataField="1" numFmtId="3" showAll="0"/>
    <pivotField showAll="0"/>
    <pivotField numFmtId="9" showAll="0"/>
    <pivotField showAll="0"/>
    <pivotField showAll="0"/>
    <pivotField showAll="0"/>
    <pivotField showAll="0"/>
    <pivotField showAll="0"/>
    <pivotField showAll="0">
      <items count="10">
        <item x="2"/>
        <item x="4"/>
        <item x="1"/>
        <item x="5"/>
        <item x="7"/>
        <item x="8"/>
        <item x="3"/>
        <item x="6"/>
        <item x="0"/>
        <item t="default"/>
      </items>
    </pivotField>
  </pivotFields>
  <rowFields count="1">
    <field x="10"/>
  </rowFields>
  <rowItems count="4">
    <i>
      <x/>
    </i>
    <i>
      <x v="1"/>
    </i>
    <i>
      <x v="2"/>
    </i>
    <i t="grand">
      <x/>
    </i>
  </rowItems>
  <colItems count="1">
    <i/>
  </colItems>
  <dataFields count="1">
    <dataField name="Sales_" fld="24" baseField="1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0975A3-4BE1-46C4-94A8-6A944A4A3DC9}" name="PivotTable15"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tem group">
  <location ref="J24:J25" firstHeaderRow="1" firstDataRow="1" firstDataCol="0"/>
  <pivotFields count="33">
    <pivotField showAll="0">
      <items count="3">
        <item x="0"/>
        <item x="1"/>
        <item t="default"/>
      </items>
    </pivotField>
    <pivotField dataField="1" showAll="0"/>
    <pivotField numFmtId="14" showAll="0"/>
    <pivotField numFmtId="14"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showAll="0"/>
    <pivotField numFmtId="9" showAll="0"/>
    <pivotField showAll="0"/>
    <pivotField showAll="0"/>
    <pivotField showAll="0"/>
    <pivotField showAll="0"/>
    <pivotField showAll="0"/>
    <pivotField showAll="0"/>
  </pivotFields>
  <rowItems count="1">
    <i/>
  </rowItems>
  <colItems count="1">
    <i/>
  </colItems>
  <dataFields count="1">
    <dataField name="Count of inv_invoice_no"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E79EF3-9AA1-4536-9584-032BDEE4016E}" name="PivotTable7"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s by Category">
  <location ref="A14:B20" firstHeaderRow="1" firstDataRow="1" firstDataCol="1"/>
  <pivotFields count="33">
    <pivotField showAll="0">
      <items count="3">
        <item x="0"/>
        <item x="1"/>
        <item t="default"/>
      </items>
    </pivotField>
    <pivotField showAll="0"/>
    <pivotField numFmtId="14" showAll="0"/>
    <pivotField numFmtId="14" showAll="0"/>
    <pivotField showAll="0"/>
    <pivotField showAll="0"/>
    <pivotField showAll="0"/>
    <pivotField axis="axisRow" showAll="0" sortType="descending">
      <items count="6">
        <item x="3"/>
        <item x="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items count="6">
        <item x="4"/>
        <item x="3"/>
        <item x="0"/>
        <item x="2"/>
        <item x="1"/>
        <item t="default"/>
      </items>
    </pivotField>
    <pivotField showAll="0"/>
    <pivotField showAll="0"/>
    <pivotField showAll="0"/>
    <pivotField showAll="0"/>
    <pivotField showAll="0"/>
    <pivotField showAll="0">
      <items count="6">
        <item x="0"/>
        <item x="2"/>
        <item x="1"/>
        <item x="3"/>
        <item x="4"/>
        <item t="default"/>
      </items>
    </pivotField>
    <pivotField showAll="0"/>
    <pivotField showAll="0"/>
    <pivotField showAll="0"/>
    <pivotField showAll="0"/>
    <pivotField showAll="0"/>
    <pivotField showAll="0"/>
    <pivotField dataField="1" numFmtId="3" showAll="0"/>
    <pivotField showAll="0"/>
    <pivotField numFmtId="9" showAll="0"/>
    <pivotField showAll="0"/>
    <pivotField showAll="0"/>
    <pivotField showAll="0"/>
    <pivotField showAll="0"/>
    <pivotField showAll="0"/>
    <pivotField showAll="0">
      <items count="10">
        <item x="2"/>
        <item x="4"/>
        <item x="1"/>
        <item x="5"/>
        <item x="7"/>
        <item x="8"/>
        <item x="3"/>
        <item x="6"/>
        <item x="0"/>
        <item t="default"/>
      </items>
    </pivotField>
  </pivotFields>
  <rowFields count="1">
    <field x="7"/>
  </rowFields>
  <rowItems count="6">
    <i>
      <x v="2"/>
    </i>
    <i>
      <x v="4"/>
    </i>
    <i>
      <x v="3"/>
    </i>
    <i>
      <x v="1"/>
    </i>
    <i>
      <x/>
    </i>
    <i t="grand">
      <x/>
    </i>
  </rowItems>
  <colItems count="1">
    <i/>
  </colItems>
  <dataFields count="1">
    <dataField name="Sales_" fld="24" baseField="7" baseItem="2" numFmtId="3"/>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 chart="3" format="9">
      <pivotArea type="data" outline="0" fieldPosition="0">
        <references count="2">
          <reference field="4294967294" count="1" selected="0">
            <x v="0"/>
          </reference>
          <reference field="7" count="1" selected="0">
            <x v="4"/>
          </reference>
        </references>
      </pivotArea>
    </chartFormat>
    <chartFormat chart="3" format="10">
      <pivotArea type="data" outline="0" fieldPosition="0">
        <references count="2">
          <reference field="4294967294" count="1" selected="0">
            <x v="0"/>
          </reference>
          <reference field="7" count="1" selected="0">
            <x v="3"/>
          </reference>
        </references>
      </pivotArea>
    </chartFormat>
    <chartFormat chart="3" format="11">
      <pivotArea type="data" outline="0" fieldPosition="0">
        <references count="2">
          <reference field="4294967294" count="1" selected="0">
            <x v="0"/>
          </reference>
          <reference field="7" count="1" selected="0">
            <x v="1"/>
          </reference>
        </references>
      </pivotArea>
    </chartFormat>
    <chartFormat chart="3" format="12">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2886A6-EB86-4BF9-B59E-8BE648F95D9D}" name="PivotTable14"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tem group">
  <location ref="J19:J20" firstHeaderRow="1" firstDataRow="1" firstDataCol="0"/>
  <pivotFields count="33">
    <pivotField showAll="0">
      <items count="3">
        <item x="0"/>
        <item x="1"/>
        <item t="default"/>
      </items>
    </pivotField>
    <pivotField showAll="0"/>
    <pivotField numFmtId="14" showAll="0"/>
    <pivotField numFmtId="14"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3" showAll="0"/>
    <pivotField showAll="0"/>
    <pivotField numFmtId="9" showAll="0"/>
    <pivotField showAll="0"/>
    <pivotField showAll="0"/>
    <pivotField showAll="0"/>
    <pivotField showAll="0"/>
    <pivotField showAll="0"/>
    <pivotField showAll="0"/>
  </pivotFields>
  <rowItems count="1">
    <i/>
  </rowItems>
  <colItems count="1">
    <i/>
  </colItems>
  <dataFields count="1">
    <dataField name="Sum of Quantity"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06C508-C340-44BE-A5C7-0FC2F8D5F284}" name="PivotTable12"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tem group">
  <location ref="G24:H30" firstHeaderRow="1" firstDataRow="1" firstDataCol="1"/>
  <pivotFields count="33">
    <pivotField showAll="0">
      <items count="3">
        <item x="0"/>
        <item x="1"/>
        <item t="default"/>
      </items>
    </pivotField>
    <pivotField showAll="0"/>
    <pivotField numFmtId="14" showAll="0"/>
    <pivotField numFmtId="14"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sortType="descending">
      <items count="6">
        <item x="3"/>
        <item x="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items count="6">
        <item x="4"/>
        <item x="3"/>
        <item x="0"/>
        <item x="2"/>
        <item x="1"/>
        <item t="default"/>
      </items>
    </pivotField>
    <pivotField showAll="0"/>
    <pivotField showAll="0"/>
    <pivotField showAll="0"/>
    <pivotField axis="axisRow" showAll="0">
      <items count="6">
        <item x="0"/>
        <item x="4"/>
        <item x="2"/>
        <item x="3"/>
        <item x="1"/>
        <item t="default"/>
      </items>
    </pivotField>
    <pivotField showAll="0"/>
    <pivotField showAll="0">
      <items count="6">
        <item x="0"/>
        <item x="2"/>
        <item x="1"/>
        <item x="3"/>
        <item x="4"/>
        <item t="default"/>
      </items>
    </pivotField>
    <pivotField showAll="0"/>
    <pivotField showAll="0"/>
    <pivotField showAll="0"/>
    <pivotField showAll="0"/>
    <pivotField showAll="0"/>
    <pivotField showAll="0"/>
    <pivotField dataField="1" numFmtId="3" showAll="0"/>
    <pivotField showAll="0"/>
    <pivotField numFmtId="9" showAll="0"/>
    <pivotField showAll="0"/>
    <pivotField showAll="0"/>
    <pivotField showAll="0"/>
    <pivotField showAll="0"/>
    <pivotField showAll="0"/>
    <pivotField showAll="0" measureFilter="1" sortType="descending">
      <items count="10">
        <item x="2"/>
        <item x="4"/>
        <item x="1"/>
        <item x="5"/>
        <item x="7"/>
        <item x="8"/>
        <item x="3"/>
        <item x="6"/>
        <item x="0"/>
        <item t="default"/>
      </items>
      <autoSortScope>
        <pivotArea dataOnly="0" outline="0" fieldPosition="0">
          <references count="1">
            <reference field="4294967294" count="1" selected="0">
              <x v="0"/>
            </reference>
          </references>
        </pivotArea>
      </autoSortScope>
    </pivotField>
  </pivotFields>
  <rowFields count="1">
    <field x="15"/>
  </rowFields>
  <rowItems count="6">
    <i>
      <x/>
    </i>
    <i>
      <x v="1"/>
    </i>
    <i>
      <x v="2"/>
    </i>
    <i>
      <x v="3"/>
    </i>
    <i>
      <x v="4"/>
    </i>
    <i t="grand">
      <x/>
    </i>
  </rowItems>
  <colItems count="1">
    <i/>
  </colItems>
  <dataFields count="1">
    <dataField name="Sales_" fld="24" baseField="6" baseItem="88" numFmtId="3"/>
  </dataFields>
  <pivotTableStyleInfo name="PivotStyleLight16" showRowHeaders="1" showColHeaders="1" showRowStripes="0" showColStripes="0" showLastColumn="1"/>
  <filters count="2">
    <filter fld="6" type="count" evalOrder="-1" id="1" iMeasureFld="0">
      <autoFilter ref="A1">
        <filterColumn colId="0">
          <top10 val="10" filterVal="10"/>
        </filterColumn>
      </autoFilter>
    </filter>
    <filter fld="32"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E557D0-536F-41C4-9C4A-5A32270ED577}" name="PivotTable4"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ales by Region">
  <location ref="A3:B9" firstHeaderRow="1" firstDataRow="1" firstDataCol="1"/>
  <pivotFields count="33">
    <pivotField showAll="0">
      <items count="3">
        <item x="0"/>
        <item x="1"/>
        <item t="default"/>
      </items>
    </pivotField>
    <pivotField showAll="0"/>
    <pivotField numFmtId="14" showAll="0"/>
    <pivotField numFmtId="14" showAll="0"/>
    <pivotField showAll="0"/>
    <pivotField showAll="0"/>
    <pivotField showAll="0"/>
    <pivotField showAll="0"/>
    <pivotField showAll="0"/>
    <pivotField showAll="0"/>
    <pivotField showAll="0">
      <items count="4">
        <item x="0"/>
        <item x="1"/>
        <item x="2"/>
        <item t="default"/>
      </items>
    </pivotField>
    <pivotField axis="axisRow" showAll="0" sortType="descending">
      <items count="6">
        <item x="4"/>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numFmtId="3" showAll="0"/>
    <pivotField showAll="0"/>
    <pivotField numFmtId="9" showAll="0"/>
    <pivotField showAll="0"/>
    <pivotField showAll="0"/>
    <pivotField showAll="0"/>
    <pivotField showAll="0"/>
    <pivotField showAll="0"/>
    <pivotField showAll="0"/>
  </pivotFields>
  <rowFields count="1">
    <field x="11"/>
  </rowFields>
  <rowItems count="6">
    <i>
      <x v="1"/>
    </i>
    <i>
      <x v="2"/>
    </i>
    <i>
      <x v="4"/>
    </i>
    <i>
      <x/>
    </i>
    <i>
      <x v="3"/>
    </i>
    <i t="grand">
      <x/>
    </i>
  </rowItems>
  <colItems count="1">
    <i/>
  </colItems>
  <dataFields count="1">
    <dataField name="Sales_" fld="24" baseField="11" baseItem="1" numFmtId="3"/>
  </dataFields>
  <formats count="1">
    <format dxfId="2">
      <pivotArea collapsedLevelsAreSubtotals="1" fieldPosition="0">
        <references count="1">
          <reference field="11"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A9C9F2-E972-4086-836F-B3F2ED893BF2}" name="PivotTable11"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anager">
  <location ref="D24:E34" firstHeaderRow="1" firstDataRow="1" firstDataCol="1"/>
  <pivotFields count="33">
    <pivotField showAll="0">
      <items count="3">
        <item x="0"/>
        <item x="1"/>
        <item t="default"/>
      </items>
    </pivotField>
    <pivotField showAll="0"/>
    <pivotField numFmtId="14" showAll="0"/>
    <pivotField numFmtId="14"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sortType="descending">
      <items count="6">
        <item x="3"/>
        <item x="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items count="6">
        <item x="4"/>
        <item x="3"/>
        <item x="0"/>
        <item x="2"/>
        <item x="1"/>
        <item t="default"/>
      </items>
    </pivotField>
    <pivotField showAll="0"/>
    <pivotField showAll="0"/>
    <pivotField showAll="0"/>
    <pivotField showAll="0"/>
    <pivotField showAll="0"/>
    <pivotField showAll="0">
      <items count="6">
        <item x="0"/>
        <item x="2"/>
        <item x="1"/>
        <item x="3"/>
        <item x="4"/>
        <item t="default"/>
      </items>
    </pivotField>
    <pivotField showAll="0"/>
    <pivotField showAll="0"/>
    <pivotField showAll="0"/>
    <pivotField showAll="0"/>
    <pivotField showAll="0"/>
    <pivotField showAll="0"/>
    <pivotField dataField="1" numFmtId="3" showAll="0"/>
    <pivotField showAll="0"/>
    <pivotField numFmtId="9" showAll="0"/>
    <pivotField showAll="0"/>
    <pivotField showAll="0"/>
    <pivotField showAll="0"/>
    <pivotField showAll="0"/>
    <pivotField showAll="0"/>
    <pivotField axis="axisRow" showAll="0" sortType="descending">
      <items count="10">
        <item x="2"/>
        <item x="4"/>
        <item x="1"/>
        <item x="5"/>
        <item x="7"/>
        <item x="8"/>
        <item x="3"/>
        <item x="6"/>
        <item x="0"/>
        <item t="default"/>
      </items>
      <autoSortScope>
        <pivotArea dataOnly="0" outline="0" fieldPosition="0">
          <references count="1">
            <reference field="4294967294" count="1" selected="0">
              <x v="0"/>
            </reference>
          </references>
        </pivotArea>
      </autoSortScope>
    </pivotField>
  </pivotFields>
  <rowFields count="1">
    <field x="32"/>
  </rowFields>
  <rowItems count="10">
    <i>
      <x v="4"/>
    </i>
    <i>
      <x v="7"/>
    </i>
    <i>
      <x/>
    </i>
    <i>
      <x v="1"/>
    </i>
    <i>
      <x v="6"/>
    </i>
    <i>
      <x v="2"/>
    </i>
    <i>
      <x v="5"/>
    </i>
    <i>
      <x v="8"/>
    </i>
    <i>
      <x v="3"/>
    </i>
    <i t="grand">
      <x/>
    </i>
  </rowItems>
  <colItems count="1">
    <i/>
  </colItems>
  <dataFields count="1">
    <dataField name="Sales_" fld="24" baseField="6" baseItem="88" numFmtId="3"/>
  </dataFields>
  <chartFormats count="10">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32" count="1" selected="0">
            <x v="4"/>
          </reference>
        </references>
      </pivotArea>
    </chartFormat>
    <chartFormat chart="2" format="10">
      <pivotArea type="data" outline="0" fieldPosition="0">
        <references count="2">
          <reference field="4294967294" count="1" selected="0">
            <x v="0"/>
          </reference>
          <reference field="32" count="1" selected="0">
            <x v="2"/>
          </reference>
        </references>
      </pivotArea>
    </chartFormat>
    <chartFormat chart="2" format="11">
      <pivotArea type="data" outline="0" fieldPosition="0">
        <references count="2">
          <reference field="4294967294" count="1" selected="0">
            <x v="0"/>
          </reference>
          <reference field="32" count="1" selected="0">
            <x v="7"/>
          </reference>
        </references>
      </pivotArea>
    </chartFormat>
    <chartFormat chart="2" format="12">
      <pivotArea type="data" outline="0" fieldPosition="0">
        <references count="2">
          <reference field="4294967294" count="1" selected="0">
            <x v="0"/>
          </reference>
          <reference field="32" count="1" selected="0">
            <x v="0"/>
          </reference>
        </references>
      </pivotArea>
    </chartFormat>
    <chartFormat chart="2" format="13">
      <pivotArea type="data" outline="0" fieldPosition="0">
        <references count="2">
          <reference field="4294967294" count="1" selected="0">
            <x v="0"/>
          </reference>
          <reference field="32" count="1" selected="0">
            <x v="1"/>
          </reference>
        </references>
      </pivotArea>
    </chartFormat>
    <chartFormat chart="2" format="14">
      <pivotArea type="data" outline="0" fieldPosition="0">
        <references count="2">
          <reference field="4294967294" count="1" selected="0">
            <x v="0"/>
          </reference>
          <reference field="32" count="1" selected="0">
            <x v="6"/>
          </reference>
        </references>
      </pivotArea>
    </chartFormat>
    <chartFormat chart="2" format="15">
      <pivotArea type="data" outline="0" fieldPosition="0">
        <references count="2">
          <reference field="4294967294" count="1" selected="0">
            <x v="0"/>
          </reference>
          <reference field="32" count="1" selected="0">
            <x v="5"/>
          </reference>
        </references>
      </pivotArea>
    </chartFormat>
    <chartFormat chart="2" format="16">
      <pivotArea type="data" outline="0" fieldPosition="0">
        <references count="2">
          <reference field="4294967294" count="1" selected="0">
            <x v="0"/>
          </reference>
          <reference field="32" count="1" selected="0">
            <x v="8"/>
          </reference>
        </references>
      </pivotArea>
    </chartFormat>
    <chartFormat chart="2" format="17">
      <pivotArea type="data" outline="0" fieldPosition="0">
        <references count="2">
          <reference field="4294967294" count="1" selected="0">
            <x v="0"/>
          </reference>
          <reference field="32" count="1" selected="0">
            <x v="3"/>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F213A70-636B-4A9C-A83D-C0A4554EFC02}" name="PivotTable5"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ales by divison">
  <location ref="D3:E9" firstHeaderRow="1" firstDataRow="1" firstDataCol="1"/>
  <pivotFields count="33">
    <pivotField showAll="0">
      <items count="3">
        <item x="0"/>
        <item x="1"/>
        <item t="default"/>
      </items>
    </pivotField>
    <pivotField showAll="0"/>
    <pivotField numFmtId="14" showAll="0"/>
    <pivotField numFmtId="14"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sortType="descending">
      <items count="6">
        <item x="0"/>
        <item x="2"/>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numFmtId="3" showAll="0"/>
    <pivotField showAll="0"/>
    <pivotField numFmtId="9" showAll="0"/>
    <pivotField showAll="0"/>
    <pivotField showAll="0"/>
    <pivotField showAll="0"/>
    <pivotField showAll="0"/>
    <pivotField showAll="0"/>
    <pivotField showAll="0"/>
  </pivotFields>
  <rowFields count="1">
    <field x="17"/>
  </rowFields>
  <rowItems count="6">
    <i>
      <x v="2"/>
    </i>
    <i>
      <x v="4"/>
    </i>
    <i>
      <x v="1"/>
    </i>
    <i>
      <x/>
    </i>
    <i>
      <x v="3"/>
    </i>
    <i t="grand">
      <x/>
    </i>
  </rowItems>
  <colItems count="1">
    <i/>
  </colItems>
  <dataFields count="1">
    <dataField name="Sales_" fld="24" baseField="17" baseItem="0" numFmtId="3"/>
  </dataFields>
  <formats count="1">
    <format dxfId="1">
      <pivotArea collapsedLevelsAreSubtotals="1" fieldPosition="0">
        <references count="1">
          <reference field="17" count="0"/>
        </references>
      </pivotArea>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E2824AA-E32D-4B94-80EF-0ADAD194E674}" name="PivotTable6"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s by year">
  <location ref="G3:H6" firstHeaderRow="1" firstDataRow="1" firstDataCol="1"/>
  <pivotFields count="33">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numFmtId="14" showAll="0"/>
    <pivotField numFmtId="14" showAll="0"/>
    <pivotField showAll="0"/>
    <pivotField showAll="0"/>
    <pivotField showAll="0"/>
    <pivotField showAll="0"/>
    <pivotField showAll="0"/>
    <pivotField showAll="0"/>
    <pivotField showAll="0"/>
    <pivotField showAll="0">
      <items count="6">
        <item x="4"/>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numFmtId="3" showAll="0"/>
    <pivotField showAll="0"/>
    <pivotField numFmtId="9" showAll="0"/>
    <pivotField showAll="0"/>
    <pivotField showAll="0"/>
    <pivotField showAll="0"/>
    <pivotField showAll="0"/>
    <pivotField showAll="0"/>
    <pivotField showAll="0"/>
  </pivotFields>
  <rowFields count="1">
    <field x="0"/>
  </rowFields>
  <rowItems count="3">
    <i>
      <x v="1"/>
    </i>
    <i>
      <x/>
    </i>
    <i t="grand">
      <x/>
    </i>
  </rowItems>
  <colItems count="1">
    <i/>
  </colItems>
  <dataFields count="1">
    <dataField name="Sales_" fld="24" baseField="0" baseItem="1"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4377127-EA80-4C90-AF10-427D7F8077A6}" name="PivotTable9"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by Sales by Channel">
  <location ref="G14:H20" firstHeaderRow="1" firstDataRow="1" firstDataCol="1"/>
  <pivotFields count="33">
    <pivotField showAll="0">
      <items count="3">
        <item x="0"/>
        <item x="1"/>
        <item t="default"/>
      </items>
    </pivotField>
    <pivotField showAll="0"/>
    <pivotField numFmtId="14" showAll="0"/>
    <pivotField numFmtId="14" showAll="0"/>
    <pivotField showAll="0"/>
    <pivotField showAll="0"/>
    <pivotField showAll="0"/>
    <pivotField showAll="0" sortType="descending">
      <items count="6">
        <item x="3"/>
        <item x="4"/>
        <item x="0"/>
        <item x="2"/>
        <item x="1"/>
        <item t="default"/>
      </items>
      <autoSortScope>
        <pivotArea dataOnly="0" outline="0" fieldPosition="0">
          <references count="1">
            <reference field="4294967294" count="1" selected="0">
              <x v="0"/>
            </reference>
          </references>
        </pivotArea>
      </autoSortScope>
    </pivotField>
    <pivotField axis="axisRow" showAll="0">
      <items count="6">
        <item x="0"/>
        <item x="1"/>
        <item x="2"/>
        <item x="3"/>
        <item x="4"/>
        <item t="default"/>
      </items>
    </pivotField>
    <pivotField showAll="0"/>
    <pivotField showAll="0">
      <items count="4">
        <item x="0"/>
        <item x="1"/>
        <item x="2"/>
        <item t="default"/>
      </items>
    </pivotField>
    <pivotField showAll="0">
      <items count="6">
        <item x="4"/>
        <item x="3"/>
        <item x="0"/>
        <item x="2"/>
        <item x="1"/>
        <item t="default"/>
      </items>
    </pivotField>
    <pivotField showAll="0"/>
    <pivotField showAll="0"/>
    <pivotField showAll="0"/>
    <pivotField showAll="0"/>
    <pivotField showAll="0"/>
    <pivotField showAll="0">
      <items count="6">
        <item x="0"/>
        <item x="2"/>
        <item x="1"/>
        <item x="3"/>
        <item x="4"/>
        <item t="default"/>
      </items>
    </pivotField>
    <pivotField showAll="0"/>
    <pivotField showAll="0"/>
    <pivotField showAll="0"/>
    <pivotField showAll="0"/>
    <pivotField showAll="0"/>
    <pivotField showAll="0"/>
    <pivotField dataField="1" numFmtId="3" showAll="0"/>
    <pivotField showAll="0"/>
    <pivotField numFmtId="9" showAll="0"/>
    <pivotField showAll="0"/>
    <pivotField showAll="0"/>
    <pivotField showAll="0"/>
    <pivotField showAll="0"/>
    <pivotField showAll="0"/>
    <pivotField showAll="0">
      <items count="10">
        <item x="2"/>
        <item x="4"/>
        <item x="1"/>
        <item x="5"/>
        <item x="7"/>
        <item x="8"/>
        <item x="3"/>
        <item x="6"/>
        <item x="0"/>
        <item t="default"/>
      </items>
    </pivotField>
  </pivotFields>
  <rowFields count="1">
    <field x="8"/>
  </rowFields>
  <rowItems count="6">
    <i>
      <x/>
    </i>
    <i>
      <x v="1"/>
    </i>
    <i>
      <x v="2"/>
    </i>
    <i>
      <x v="3"/>
    </i>
    <i>
      <x v="4"/>
    </i>
    <i t="grand">
      <x/>
    </i>
  </rowItems>
  <colItems count="1">
    <i/>
  </colItems>
  <dataFields count="1">
    <dataField name="Sales_" fld="24" baseField="8"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DE5C2AE-B390-47D4-A945-6E238EAF7CE5}" name="PivotTable10"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ustomers">
  <location ref="A24:B30" firstHeaderRow="1" firstDataRow="1" firstDataCol="1"/>
  <pivotFields count="33">
    <pivotField showAll="0">
      <items count="3">
        <item x="0"/>
        <item x="1"/>
        <item t="default"/>
      </items>
    </pivotField>
    <pivotField showAll="0"/>
    <pivotField numFmtId="14" showAll="0"/>
    <pivotField numFmtId="14" showAll="0"/>
    <pivotField showAll="0"/>
    <pivotField showAll="0"/>
    <pivotField axis="axisRow" showAll="0" measureFilter="1" sortType="descending">
      <items count="219">
        <item x="134"/>
        <item x="38"/>
        <item x="4"/>
        <item x="37"/>
        <item x="36"/>
        <item x="5"/>
        <item x="39"/>
        <item x="91"/>
        <item x="6"/>
        <item x="92"/>
        <item x="7"/>
        <item x="8"/>
        <item x="9"/>
        <item x="10"/>
        <item x="11"/>
        <item x="93"/>
        <item x="12"/>
        <item x="13"/>
        <item x="14"/>
        <item x="15"/>
        <item x="94"/>
        <item x="95"/>
        <item x="16"/>
        <item x="21"/>
        <item x="20"/>
        <item x="19"/>
        <item x="18"/>
        <item x="1"/>
        <item x="209"/>
        <item x="34"/>
        <item x="40"/>
        <item x="0"/>
        <item x="17"/>
        <item x="35"/>
        <item x="2"/>
        <item x="210"/>
        <item x="208"/>
        <item x="96"/>
        <item x="97"/>
        <item x="3"/>
        <item x="22"/>
        <item m="1" x="216"/>
        <item m="1" x="215"/>
        <item x="41"/>
        <item x="23"/>
        <item x="24"/>
        <item x="42"/>
        <item x="43"/>
        <item x="44"/>
        <item x="25"/>
        <item x="45"/>
        <item x="26"/>
        <item x="46"/>
        <item x="27"/>
        <item x="47"/>
        <item x="28"/>
        <item x="29"/>
        <item x="30"/>
        <item x="185"/>
        <item x="184"/>
        <item x="183"/>
        <item x="182"/>
        <item x="33"/>
        <item x="32"/>
        <item x="31"/>
        <item x="186"/>
        <item x="48"/>
        <item x="189"/>
        <item x="188"/>
        <item x="187"/>
        <item x="50"/>
        <item x="49"/>
        <item x="165"/>
        <item x="170"/>
        <item m="1" x="217"/>
        <item x="169"/>
        <item x="168"/>
        <item x="167"/>
        <item x="166"/>
        <item x="171"/>
        <item x="172"/>
        <item x="51"/>
        <item x="173"/>
        <item x="177"/>
        <item x="176"/>
        <item x="175"/>
        <item x="174"/>
        <item x="178"/>
        <item x="98"/>
        <item x="181"/>
        <item x="180"/>
        <item x="179"/>
        <item x="52"/>
        <item x="99"/>
        <item x="53"/>
        <item x="100"/>
        <item x="54"/>
        <item x="101"/>
        <item x="102"/>
        <item x="103"/>
        <item x="104"/>
        <item x="108"/>
        <item x="107"/>
        <item x="106"/>
        <item x="105"/>
        <item x="109"/>
        <item x="113"/>
        <item x="112"/>
        <item x="111"/>
        <item x="110"/>
        <item x="114"/>
        <item x="115"/>
        <item x="158"/>
        <item x="159"/>
        <item x="162"/>
        <item x="161"/>
        <item x="160"/>
        <item x="163"/>
        <item x="164"/>
        <item x="116"/>
        <item x="117"/>
        <item x="119"/>
        <item x="118"/>
        <item x="120"/>
        <item x="122"/>
        <item x="121"/>
        <item x="123"/>
        <item x="124"/>
        <item x="127"/>
        <item x="126"/>
        <item x="125"/>
        <item x="128"/>
        <item x="130"/>
        <item x="129"/>
        <item x="131"/>
        <item x="132"/>
        <item x="211"/>
        <item x="133"/>
        <item x="214"/>
        <item x="213"/>
        <item x="212"/>
        <item x="152"/>
        <item x="151"/>
        <item x="150"/>
        <item x="149"/>
        <item x="148"/>
        <item x="157"/>
        <item x="156"/>
        <item x="155"/>
        <item x="154"/>
        <item x="153"/>
        <item x="67"/>
        <item x="66"/>
        <item x="71"/>
        <item x="70"/>
        <item x="69"/>
        <item x="68"/>
        <item x="72"/>
        <item x="78"/>
        <item x="77"/>
        <item x="76"/>
        <item x="75"/>
        <item x="74"/>
        <item x="73"/>
        <item x="81"/>
        <item x="80"/>
        <item x="79"/>
        <item x="84"/>
        <item x="83"/>
        <item x="82"/>
        <item x="86"/>
        <item x="85"/>
        <item x="204"/>
        <item x="87"/>
        <item x="205"/>
        <item x="88"/>
        <item x="89"/>
        <item x="90"/>
        <item x="147"/>
        <item x="146"/>
        <item x="145"/>
        <item x="144"/>
        <item x="143"/>
        <item x="142"/>
        <item x="141"/>
        <item x="140"/>
        <item x="139"/>
        <item x="138"/>
        <item x="137"/>
        <item x="136"/>
        <item x="207"/>
        <item x="206"/>
        <item x="194"/>
        <item x="193"/>
        <item x="192"/>
        <item x="191"/>
        <item x="190"/>
        <item x="195"/>
        <item x="65"/>
        <item x="64"/>
        <item x="63"/>
        <item x="62"/>
        <item x="61"/>
        <item x="60"/>
        <item x="203"/>
        <item x="202"/>
        <item x="201"/>
        <item x="135"/>
        <item x="200"/>
        <item x="199"/>
        <item x="198"/>
        <item x="197"/>
        <item x="59"/>
        <item x="58"/>
        <item x="57"/>
        <item x="56"/>
        <item x="196"/>
        <item x="55"/>
        <item t="default"/>
      </items>
      <autoSortScope>
        <pivotArea dataOnly="0" outline="0" fieldPosition="0">
          <references count="1">
            <reference field="4294967294" count="1" selected="0">
              <x v="0"/>
            </reference>
          </references>
        </pivotArea>
      </autoSortScope>
    </pivotField>
    <pivotField showAll="0" sortType="descending">
      <items count="6">
        <item x="3"/>
        <item x="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items count="6">
        <item x="4"/>
        <item x="3"/>
        <item x="0"/>
        <item x="2"/>
        <item x="1"/>
        <item t="default"/>
      </items>
    </pivotField>
    <pivotField showAll="0"/>
    <pivotField showAll="0"/>
    <pivotField showAll="0"/>
    <pivotField showAll="0"/>
    <pivotField showAll="0"/>
    <pivotField showAll="0">
      <items count="6">
        <item x="0"/>
        <item x="2"/>
        <item x="1"/>
        <item x="3"/>
        <item x="4"/>
        <item t="default"/>
      </items>
    </pivotField>
    <pivotField showAll="0"/>
    <pivotField showAll="0"/>
    <pivotField showAll="0"/>
    <pivotField showAll="0"/>
    <pivotField showAll="0"/>
    <pivotField showAll="0"/>
    <pivotField dataField="1" numFmtId="3" showAll="0"/>
    <pivotField showAll="0"/>
    <pivotField numFmtId="9" showAll="0"/>
    <pivotField showAll="0"/>
    <pivotField showAll="0"/>
    <pivotField showAll="0"/>
    <pivotField showAll="0"/>
    <pivotField showAll="0"/>
    <pivotField showAll="0">
      <items count="10">
        <item x="2"/>
        <item x="4"/>
        <item x="1"/>
        <item x="5"/>
        <item x="7"/>
        <item x="8"/>
        <item x="3"/>
        <item x="6"/>
        <item x="0"/>
        <item t="default"/>
      </items>
    </pivotField>
  </pivotFields>
  <rowFields count="1">
    <field x="6"/>
  </rowFields>
  <rowItems count="6">
    <i>
      <x v="88"/>
    </i>
    <i>
      <x v="6"/>
    </i>
    <i>
      <x v="34"/>
    </i>
    <i>
      <x v="92"/>
    </i>
    <i>
      <x v="135"/>
    </i>
    <i t="grand">
      <x/>
    </i>
  </rowItems>
  <colItems count="1">
    <i/>
  </colItems>
  <dataFields count="1">
    <dataField name="Sales_" fld="24" baseField="6" baseItem="88"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6FC1748-1E01-4E3B-B145-450695A41AC4}" name="PivotTable13"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tem group">
  <location ref="J14:J15" firstHeaderRow="1" firstDataRow="1" firstDataCol="0"/>
  <pivotFields count="33">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showAll="0"/>
    <pivotField numFmtId="9" showAll="0"/>
    <pivotField showAll="0"/>
    <pivotField dataField="1" showAll="0"/>
    <pivotField showAll="0"/>
    <pivotField showAll="0"/>
    <pivotField showAll="0"/>
    <pivotField showAll="0"/>
  </pivotFields>
  <rowItems count="1">
    <i/>
  </rowItems>
  <colItems count="1">
    <i/>
  </colItems>
  <dataFields count="1">
    <dataField name="Sum of GST Amount"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Year" xr10:uid="{3FC12F0C-2F68-4B17-BE6F-9B02F77DD95D}" sourceName="Financial Year">
  <pivotTables>
    <pivotTable tabId="5" name="PivotTable6"/>
    <pivotTable tabId="5" name="PivotTable10"/>
    <pivotTable tabId="5" name="PivotTable11"/>
    <pivotTable tabId="5" name="PivotTable12"/>
    <pivotTable tabId="5" name="PivotTable14"/>
    <pivotTable tabId="5" name="PivotTable15"/>
    <pivotTable tabId="5" name="PivotTable4"/>
    <pivotTable tabId="5" name="PivotTable5"/>
    <pivotTable tabId="5" name="PivotTable7"/>
    <pivotTable tabId="5" name="PivotTable8"/>
    <pivotTable tabId="5" name="PivotTable9"/>
  </pivotTables>
  <data>
    <tabular pivotCacheId="27592006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Region" xr10:uid="{96BA5246-F754-4312-83E8-5624A0435374}" sourceName="SalesRegion">
  <pivotTables>
    <pivotTable tabId="5" name="PivotTable4"/>
    <pivotTable tabId="5" name="PivotTable10"/>
    <pivotTable tabId="5" name="PivotTable11"/>
    <pivotTable tabId="5" name="PivotTable12"/>
    <pivotTable tabId="5" name="PivotTable6"/>
    <pivotTable tabId="5" name="PivotTable7"/>
    <pivotTable tabId="5" name="PivotTable8"/>
    <pivotTable tabId="5" name="PivotTable9"/>
  </pivotTables>
  <data>
    <tabular pivotCacheId="275920064">
      <items count="5">
        <i x="4" s="1"/>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m_customer_category1" xr10:uid="{1F25E95C-0485-4066-B987-160A1E737D2F}" sourceName="cm_customer_category1">
  <pivotTables>
    <pivotTable tabId="5" name="PivotTable7"/>
    <pivotTable tabId="5" name="PivotTable10"/>
    <pivotTable tabId="5" name="PivotTable11"/>
    <pivotTable tabId="5" name="PivotTable12"/>
    <pivotTable tabId="5" name="PivotTable8"/>
    <pivotTable tabId="5" name="PivotTable9"/>
  </pivotTables>
  <data>
    <tabular pivotCacheId="275920064">
      <items count="5">
        <i x="3" s="1"/>
        <i x="4" s="1"/>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Manager" xr10:uid="{BD4079CE-16EF-42B2-8063-FAEA4420080B}" sourceName="SalesManager">
  <pivotTables>
    <pivotTable tabId="5" name="PivotTable11"/>
    <pivotTable tabId="5" name="PivotTable10"/>
    <pivotTable tabId="5" name="PivotTable12"/>
    <pivotTable tabId="5" name="PivotTable7"/>
    <pivotTable tabId="5" name="PivotTable8"/>
    <pivotTable tabId="5" name="PivotTable9"/>
  </pivotTables>
  <data>
    <tabular pivotCacheId="275920064">
      <items count="9">
        <i x="2" s="1"/>
        <i x="4" s="1"/>
        <i x="1" s="1"/>
        <i x="5" s="1"/>
        <i x="7" s="1"/>
        <i x="8" s="1"/>
        <i x="3" s="1"/>
        <i x="6"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m_customer_segment2" xr10:uid="{74B92997-FF71-4282-B59C-52B90816BE64}" sourceName="cm_customer_segment2">
  <pivotTables>
    <pivotTable tabId="5" name="PivotTable8"/>
    <pivotTable tabId="5" name="PivotTable10"/>
    <pivotTable tabId="5" name="PivotTable11"/>
    <pivotTable tabId="5" name="PivotTable12"/>
    <pivotTable tabId="5" name="PivotTable14"/>
    <pivotTable tabId="5" name="PivotTable15"/>
    <pivotTable tabId="5" name="PivotTable4"/>
    <pivotTable tabId="5" name="PivotTable7"/>
    <pivotTable tabId="5" name="PivotTable9"/>
  </pivotTables>
  <data>
    <tabular pivotCacheId="275920064">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_division" xr10:uid="{ED308BE1-BA1E-42ED-91F8-FBB28BB66379}" sourceName="dim_division">
  <pivotTables>
    <pivotTable tabId="5" name="PivotTable5"/>
    <pivotTable tabId="5" name="PivotTable10"/>
    <pivotTable tabId="5" name="PivotTable11"/>
    <pivotTable tabId="5" name="PivotTable12"/>
    <pivotTable tabId="5" name="PivotTable7"/>
    <pivotTable tabId="5" name="PivotTable8"/>
    <pivotTable tabId="5" name="PivotTable9"/>
  </pivotTables>
  <data>
    <tabular pivotCacheId="275920064" sortOrder="descending">
      <items count="5">
        <i x="4" s="1"/>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nancial Year" xr10:uid="{B2F7764B-EE63-405A-83E2-92D6A779FFDA}" cache="Slicer_Financial_Year" caption="Financial Year" columnCount="2" rowHeight="828000"/>
  <slicer name="SalesRegion" xr10:uid="{34BD67A6-42A1-4D6D-A626-9A79B3F43E67}" cache="Slicer_SalesRegion" caption="SalesRegion" rowHeight="900000"/>
  <slicer name="Customer Category" xr10:uid="{1F42E7A9-1075-49C2-AE01-2B34070321A5}" cache="Slicer_cm_customer_category1" caption="Customer Category" rowHeight="900000"/>
  <slicer name="SalesManager" xr10:uid="{2F7B3A2C-22FA-4D1C-A949-155736995502}" cache="Slicer_SalesManager" caption="SalesManager" columnCount="3" rowHeight="684000"/>
  <slicer name="cm_customer_segment2" xr10:uid="{C0B61B50-A93E-4FF9-955E-2863B2185C95}" cache="Slicer_cm_customer_segment2" caption="customer_segment2" columnCount="3" rowHeight="828000"/>
  <slicer name="dim_division" xr10:uid="{C83D1E20-A71D-47CE-99D4-D8D9FA9987BD}" cache="Slicer_dim_division" caption="Divison" columnCount="5" rowHeight="100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3B76B6-A463-43DD-81EF-4226BC149020}" name="Table1" displayName="Table1" ref="A1:AG267" totalsRowShown="0">
  <autoFilter ref="A1:AG267" xr:uid="{0F3B76B6-A463-43DD-81EF-4226BC149020}"/>
  <tableColumns count="33">
    <tableColumn id="1" xr3:uid="{E0FCFEB8-A294-4FE5-8F2F-17CA20E45482}" name="Financial Year"/>
    <tableColumn id="2" xr3:uid="{9D2DD349-3ABB-4173-B63A-713CF8A430D4}" name="inv_invoice_no"/>
    <tableColumn id="3" xr3:uid="{3C3A4C86-6242-4128-A64E-863ACFD95A11}" name="inv_invoice_date" dataDxfId="6"/>
    <tableColumn id="4" xr3:uid="{D18B707B-D870-47A9-881E-669D61233E5A}" name="so_date" dataDxfId="5"/>
    <tableColumn id="5" xr3:uid="{F6285536-C66F-44D7-940F-38917802CB84}" name="so_no"/>
    <tableColumn id="6" xr3:uid="{FE0C622F-FD5B-4D98-BA0A-012107DDC5C9}" name="cm_customer_code"/>
    <tableColumn id="7" xr3:uid="{7EA220CA-AADD-41F3-8D5A-4FC259F22B53}" name="cm_customer_name"/>
    <tableColumn id="8" xr3:uid="{09B04C6D-2B2C-4CE8-8945-C8CEA43F9864}" name="cm_customer_category1"/>
    <tableColumn id="9" xr3:uid="{A358C0C4-1427-4E4C-9928-4C8790CCF13A}" name="cm_customer_channel1"/>
    <tableColumn id="10" xr3:uid="{B658666C-4F20-406D-BB7E-7AD9646B612B}" name="cm_customer_segment1"/>
    <tableColumn id="11" xr3:uid="{5A6F13F3-9438-4420-9D0F-3D6E934CA545}" name="cm_customer_segment2"/>
    <tableColumn id="12" xr3:uid="{E38894B8-FC3E-47C8-93DB-6A8E497D76B8}" name="SalesRegion"/>
    <tableColumn id="13" xr3:uid="{7DAC23A3-20F0-4071-85DA-01177032BF9B}" name="cm_customer_state"/>
    <tableColumn id="14" xr3:uid="{D7457613-A711-4ED8-910E-0121E5F95FDB}" name="cm_customer_city"/>
    <tableColumn id="15" xr3:uid="{0C57DEA1-4B3E-40A1-8E28-58C7C9FA6E60}" name="im_item_code1"/>
    <tableColumn id="16" xr3:uid="{06E3E189-FE7B-4991-8C7A-389A056BBC1F}" name="im_item_group1"/>
    <tableColumn id="17" xr3:uid="{1C161A87-B6AB-44A2-890E-F574D5E466F9}" name="im_item_name"/>
    <tableColumn id="18" xr3:uid="{AAC7165F-6FDD-4A8A-BC0C-80E17A9EBFC8}" name="dim_division"/>
    <tableColumn id="19" xr3:uid="{32573D53-45F7-4C1C-8DAD-309BB2A8AE8B}" name="dim_branch"/>
    <tableColumn id="20" xr3:uid="{87C97A2E-C4DF-42B4-B44F-560FBF2C653D}" name="dim_dimension1"/>
    <tableColumn id="21" xr3:uid="{018B41FB-F476-4533-A044-E41AA22F9670}" name="dim_dimension2"/>
    <tableColumn id="22" xr3:uid="{3C1AE59E-1372-4428-ACDD-E7B46A8DD018}" name="Quantity"/>
    <tableColumn id="23" xr3:uid="{3DB08A12-D4BC-4955-A7DC-DCBBD82EB679}" name="im_uom1"/>
    <tableColumn id="24" xr3:uid="{7FF25D30-203F-4F9C-98FC-C5407D90E0DD}" name="Rate"/>
    <tableColumn id="25" xr3:uid="{6E991677-57AE-405E-B68A-5B3390FBB894}" name="Sales" dataDxfId="4"/>
    <tableColumn id="26" xr3:uid="{5C691A74-385C-45E7-AD24-0669C484BA93}" name="so_document_currency"/>
    <tableColumn id="27" xr3:uid="{2273EC83-49BA-4A49-B00B-D80F21F730B4}" name="so_gst_rate" dataDxfId="3"/>
    <tableColumn id="28" xr3:uid="{408ADD5D-E267-492F-BCF0-5CE98B2921C0}" name="so_hsn_code"/>
    <tableColumn id="29" xr3:uid="{BF8F3AF1-36BC-4051-951A-F56B852534C9}" name="GST Amount"/>
    <tableColumn id="30" xr3:uid="{BD13F0EA-8344-4509-AAF3-1883019ECD49}" name="sam_sales_agent1"/>
    <tableColumn id="31" xr3:uid="{A26AB773-4503-47B3-900E-03ADDBE03718}" name="cptm_payment_terms"/>
    <tableColumn id="32" xr3:uid="{BDC2C5DD-6792-4375-93EC-E85FFBBBD5A7}" name="so_shipment_type"/>
    <tableColumn id="33" xr3:uid="{41868185-E1FD-4FE8-87E9-62DD4FC44F0D}" name="SalesManager"/>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2F6AE-C9D5-4AA2-85FD-39690F4E2882}">
  <dimension ref="A1:AG269"/>
  <sheetViews>
    <sheetView topLeftCell="B1" workbookViewId="0">
      <selection activeCell="AK17" sqref="AK17"/>
    </sheetView>
  </sheetViews>
  <sheetFormatPr defaultRowHeight="14.4" x14ac:dyDescent="0.3"/>
  <cols>
    <col min="1" max="1" width="14.33203125" customWidth="1"/>
    <col min="2" max="2" width="15.6640625" customWidth="1"/>
    <col min="3" max="3" width="17.21875" customWidth="1"/>
    <col min="4" max="4" width="10.33203125" bestFit="1" customWidth="1"/>
    <col min="5" max="5" width="11.33203125" bestFit="1" customWidth="1"/>
    <col min="6" max="6" width="19.44140625" customWidth="1"/>
    <col min="7" max="7" width="20.109375" customWidth="1"/>
    <col min="8" max="8" width="23.6640625" customWidth="1"/>
    <col min="9" max="9" width="23" customWidth="1"/>
    <col min="10" max="11" width="23.5546875" customWidth="1"/>
    <col min="12" max="12" width="12.88671875" customWidth="1"/>
    <col min="13" max="13" width="19.44140625" customWidth="1"/>
    <col min="14" max="14" width="18.33203125" customWidth="1"/>
    <col min="15" max="15" width="18.44140625" bestFit="1" customWidth="1"/>
    <col min="16" max="16" width="16.77734375" customWidth="1"/>
    <col min="17" max="17" width="15.5546875" customWidth="1"/>
    <col min="18" max="18" width="13.5546875" customWidth="1"/>
    <col min="19" max="19" width="13" customWidth="1"/>
    <col min="20" max="21" width="16.88671875" customWidth="1"/>
    <col min="22" max="22" width="10.21875" customWidth="1"/>
    <col min="23" max="23" width="10.88671875" customWidth="1"/>
    <col min="24" max="24" width="7.88671875" bestFit="1" customWidth="1"/>
    <col min="25" max="25" width="11.33203125" bestFit="1" customWidth="1"/>
    <col min="26" max="26" width="22.77734375" customWidth="1"/>
    <col min="27" max="27" width="12.5546875" customWidth="1"/>
    <col min="28" max="28" width="13.88671875" customWidth="1"/>
    <col min="29" max="29" width="13.44140625" customWidth="1"/>
    <col min="30" max="30" width="18.109375" customWidth="1"/>
    <col min="31" max="31" width="24" bestFit="1" customWidth="1"/>
    <col min="32" max="32" width="18.44140625" customWidth="1"/>
    <col min="33" max="33" width="15.6640625" bestFit="1" customWidth="1"/>
    <col min="37" max="37" width="12.5546875" bestFit="1" customWidth="1"/>
    <col min="38" max="38" width="11.6640625" bestFit="1" customWidth="1"/>
  </cols>
  <sheetData>
    <row r="1" spans="1:3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3">
      <c r="A2" t="s">
        <v>33</v>
      </c>
      <c r="B2" t="s">
        <v>34</v>
      </c>
      <c r="C2" s="1">
        <v>44687</v>
      </c>
      <c r="D2" s="1">
        <v>43925</v>
      </c>
      <c r="E2" t="s">
        <v>35</v>
      </c>
      <c r="F2" t="s">
        <v>36</v>
      </c>
      <c r="G2" t="s">
        <v>37</v>
      </c>
      <c r="H2" t="s">
        <v>38</v>
      </c>
      <c r="I2" t="s">
        <v>39</v>
      </c>
      <c r="J2" t="s">
        <v>40</v>
      </c>
      <c r="K2" t="s">
        <v>41</v>
      </c>
      <c r="L2" t="s">
        <v>42</v>
      </c>
      <c r="M2" t="s">
        <v>43</v>
      </c>
      <c r="N2" t="s">
        <v>44</v>
      </c>
      <c r="O2" t="s">
        <v>45</v>
      </c>
      <c r="P2" t="s">
        <v>46</v>
      </c>
      <c r="Q2" t="s">
        <v>47</v>
      </c>
      <c r="R2" t="s">
        <v>48</v>
      </c>
      <c r="S2" t="s">
        <v>49</v>
      </c>
      <c r="T2" t="s">
        <v>50</v>
      </c>
      <c r="U2" t="s">
        <v>51</v>
      </c>
      <c r="V2">
        <v>10</v>
      </c>
      <c r="W2" t="s">
        <v>52</v>
      </c>
      <c r="X2" s="2">
        <v>5350</v>
      </c>
      <c r="Y2" s="2">
        <v>53500</v>
      </c>
      <c r="Z2" t="s">
        <v>53</v>
      </c>
      <c r="AA2" s="3">
        <v>0.18</v>
      </c>
      <c r="AB2">
        <v>33051010</v>
      </c>
      <c r="AC2">
        <v>9630</v>
      </c>
      <c r="AD2" t="s">
        <v>54</v>
      </c>
      <c r="AE2" t="s">
        <v>55</v>
      </c>
      <c r="AF2" t="s">
        <v>56</v>
      </c>
      <c r="AG2" t="s">
        <v>57</v>
      </c>
    </row>
    <row r="3" spans="1:33" x14ac:dyDescent="0.3">
      <c r="A3" t="s">
        <v>33</v>
      </c>
      <c r="B3" t="s">
        <v>58</v>
      </c>
      <c r="C3" s="1">
        <v>44688</v>
      </c>
      <c r="D3" s="1">
        <v>43925</v>
      </c>
      <c r="E3" t="s">
        <v>59</v>
      </c>
      <c r="F3" t="s">
        <v>60</v>
      </c>
      <c r="G3" t="s">
        <v>61</v>
      </c>
      <c r="H3" t="s">
        <v>62</v>
      </c>
      <c r="I3" t="s">
        <v>63</v>
      </c>
      <c r="J3" t="s">
        <v>64</v>
      </c>
      <c r="K3" t="s">
        <v>65</v>
      </c>
      <c r="L3" t="s">
        <v>42</v>
      </c>
      <c r="M3" t="s">
        <v>66</v>
      </c>
      <c r="N3" t="s">
        <v>67</v>
      </c>
      <c r="O3" t="s">
        <v>68</v>
      </c>
      <c r="P3" t="s">
        <v>46</v>
      </c>
      <c r="Q3" t="s">
        <v>69</v>
      </c>
      <c r="R3" t="s">
        <v>70</v>
      </c>
      <c r="S3" t="s">
        <v>71</v>
      </c>
      <c r="T3" t="s">
        <v>72</v>
      </c>
      <c r="U3" t="s">
        <v>73</v>
      </c>
      <c r="V3">
        <v>10</v>
      </c>
      <c r="W3" t="s">
        <v>52</v>
      </c>
      <c r="X3">
        <v>297</v>
      </c>
      <c r="Y3" s="2">
        <v>2970</v>
      </c>
      <c r="Z3" t="s">
        <v>53</v>
      </c>
      <c r="AA3" s="3">
        <v>0.18</v>
      </c>
      <c r="AB3">
        <v>33059090</v>
      </c>
      <c r="AC3">
        <v>530</v>
      </c>
      <c r="AD3" t="s">
        <v>74</v>
      </c>
      <c r="AE3" t="s">
        <v>75</v>
      </c>
      <c r="AF3" t="s">
        <v>76</v>
      </c>
      <c r="AG3" t="s">
        <v>77</v>
      </c>
    </row>
    <row r="4" spans="1:33" x14ac:dyDescent="0.3">
      <c r="A4" t="s">
        <v>33</v>
      </c>
      <c r="B4" t="s">
        <v>85</v>
      </c>
      <c r="C4" s="1">
        <v>44689</v>
      </c>
      <c r="D4" s="1">
        <v>43925</v>
      </c>
      <c r="E4" t="s">
        <v>86</v>
      </c>
      <c r="F4" t="s">
        <v>87</v>
      </c>
      <c r="G4" t="s">
        <v>88</v>
      </c>
      <c r="H4" t="s">
        <v>62</v>
      </c>
      <c r="I4" t="s">
        <v>63</v>
      </c>
      <c r="J4" t="s">
        <v>89</v>
      </c>
      <c r="K4" t="s">
        <v>41</v>
      </c>
      <c r="L4" t="s">
        <v>42</v>
      </c>
      <c r="M4" t="s">
        <v>90</v>
      </c>
      <c r="N4" t="s">
        <v>91</v>
      </c>
      <c r="O4" t="s">
        <v>92</v>
      </c>
      <c r="P4" t="s">
        <v>79</v>
      </c>
      <c r="Q4" t="s">
        <v>93</v>
      </c>
      <c r="R4" t="s">
        <v>94</v>
      </c>
      <c r="S4" t="s">
        <v>49</v>
      </c>
      <c r="T4" t="s">
        <v>50</v>
      </c>
      <c r="U4" t="s">
        <v>51</v>
      </c>
      <c r="V4">
        <v>30</v>
      </c>
      <c r="W4" t="s">
        <v>52</v>
      </c>
      <c r="X4" s="2">
        <v>217288</v>
      </c>
      <c r="Y4" s="2">
        <v>6518640</v>
      </c>
      <c r="Z4" t="s">
        <v>53</v>
      </c>
      <c r="AA4" s="3">
        <v>0.18</v>
      </c>
      <c r="AB4">
        <v>33051010</v>
      </c>
      <c r="AC4">
        <v>1173360</v>
      </c>
      <c r="AD4" t="s">
        <v>95</v>
      </c>
      <c r="AE4" t="s">
        <v>96</v>
      </c>
      <c r="AF4" t="s">
        <v>56</v>
      </c>
      <c r="AG4" t="s">
        <v>97</v>
      </c>
    </row>
    <row r="5" spans="1:33" x14ac:dyDescent="0.3">
      <c r="A5" t="s">
        <v>33</v>
      </c>
      <c r="B5" t="s">
        <v>98</v>
      </c>
      <c r="C5" s="1">
        <v>44690</v>
      </c>
      <c r="D5" s="1">
        <v>43925</v>
      </c>
      <c r="E5" t="s">
        <v>99</v>
      </c>
      <c r="F5" t="s">
        <v>100</v>
      </c>
      <c r="G5" t="s">
        <v>101</v>
      </c>
      <c r="H5" t="s">
        <v>62</v>
      </c>
      <c r="I5" t="s">
        <v>63</v>
      </c>
      <c r="J5" t="s">
        <v>102</v>
      </c>
      <c r="K5" t="s">
        <v>41</v>
      </c>
      <c r="L5" t="s">
        <v>42</v>
      </c>
      <c r="M5" t="s">
        <v>103</v>
      </c>
      <c r="N5" t="s">
        <v>104</v>
      </c>
      <c r="O5" t="s">
        <v>105</v>
      </c>
      <c r="P5" t="s">
        <v>79</v>
      </c>
      <c r="Q5" t="s">
        <v>106</v>
      </c>
      <c r="R5" t="s">
        <v>107</v>
      </c>
      <c r="S5" t="s">
        <v>49</v>
      </c>
      <c r="T5" t="s">
        <v>50</v>
      </c>
      <c r="U5" t="s">
        <v>73</v>
      </c>
      <c r="V5">
        <v>30</v>
      </c>
      <c r="W5" t="s">
        <v>52</v>
      </c>
      <c r="X5">
        <v>600</v>
      </c>
      <c r="Y5" s="2">
        <v>18000</v>
      </c>
      <c r="Z5" t="s">
        <v>53</v>
      </c>
      <c r="AA5" s="3">
        <v>0.18</v>
      </c>
      <c r="AB5">
        <v>33049930</v>
      </c>
      <c r="AC5">
        <v>3240</v>
      </c>
      <c r="AD5" t="s">
        <v>108</v>
      </c>
      <c r="AE5" t="s">
        <v>75</v>
      </c>
      <c r="AF5" t="s">
        <v>109</v>
      </c>
      <c r="AG5" t="s">
        <v>57</v>
      </c>
    </row>
    <row r="6" spans="1:33" x14ac:dyDescent="0.3">
      <c r="A6" t="s">
        <v>33</v>
      </c>
      <c r="B6" t="s">
        <v>112</v>
      </c>
      <c r="C6" s="1">
        <v>44687</v>
      </c>
      <c r="D6" s="1">
        <v>43925</v>
      </c>
      <c r="E6" t="s">
        <v>113</v>
      </c>
      <c r="F6" t="s">
        <v>114</v>
      </c>
      <c r="G6" t="s">
        <v>115</v>
      </c>
      <c r="H6" t="s">
        <v>38</v>
      </c>
      <c r="I6" t="s">
        <v>39</v>
      </c>
      <c r="J6" t="s">
        <v>116</v>
      </c>
      <c r="K6" t="s">
        <v>65</v>
      </c>
      <c r="L6" t="s">
        <v>117</v>
      </c>
      <c r="M6" t="s">
        <v>118</v>
      </c>
      <c r="N6" t="s">
        <v>119</v>
      </c>
      <c r="O6" t="s">
        <v>120</v>
      </c>
      <c r="P6" t="s">
        <v>79</v>
      </c>
      <c r="Q6" t="s">
        <v>121</v>
      </c>
      <c r="R6" t="s">
        <v>122</v>
      </c>
      <c r="S6" t="s">
        <v>123</v>
      </c>
      <c r="T6" t="s">
        <v>124</v>
      </c>
      <c r="U6" t="s">
        <v>51</v>
      </c>
      <c r="V6">
        <v>60</v>
      </c>
      <c r="W6" t="s">
        <v>52</v>
      </c>
      <c r="X6">
        <v>100</v>
      </c>
      <c r="Y6" s="2">
        <v>6000</v>
      </c>
      <c r="Z6" t="s">
        <v>53</v>
      </c>
      <c r="AA6" s="3">
        <v>0.05</v>
      </c>
      <c r="AB6">
        <v>33030050</v>
      </c>
      <c r="AC6">
        <v>300</v>
      </c>
      <c r="AD6" t="s">
        <v>125</v>
      </c>
      <c r="AE6" t="s">
        <v>126</v>
      </c>
      <c r="AF6" t="s">
        <v>76</v>
      </c>
      <c r="AG6" t="s">
        <v>127</v>
      </c>
    </row>
    <row r="7" spans="1:33" x14ac:dyDescent="0.3">
      <c r="A7" t="s">
        <v>33</v>
      </c>
      <c r="B7" t="s">
        <v>134</v>
      </c>
      <c r="C7" s="1">
        <v>44692</v>
      </c>
      <c r="D7" s="1">
        <v>43925</v>
      </c>
      <c r="E7" t="s">
        <v>135</v>
      </c>
      <c r="F7" t="s">
        <v>136</v>
      </c>
      <c r="G7" t="s">
        <v>137</v>
      </c>
      <c r="H7" t="s">
        <v>138</v>
      </c>
      <c r="I7" t="s">
        <v>63</v>
      </c>
      <c r="J7" t="s">
        <v>139</v>
      </c>
      <c r="K7" t="s">
        <v>65</v>
      </c>
      <c r="L7" t="s">
        <v>117</v>
      </c>
      <c r="M7" t="s">
        <v>140</v>
      </c>
      <c r="N7" t="s">
        <v>141</v>
      </c>
      <c r="O7" t="s">
        <v>142</v>
      </c>
      <c r="P7" t="s">
        <v>79</v>
      </c>
      <c r="Q7" t="s">
        <v>143</v>
      </c>
      <c r="R7" t="s">
        <v>70</v>
      </c>
      <c r="S7" t="s">
        <v>123</v>
      </c>
      <c r="T7" t="s">
        <v>72</v>
      </c>
      <c r="U7" t="s">
        <v>144</v>
      </c>
      <c r="V7">
        <v>40</v>
      </c>
      <c r="W7" t="s">
        <v>52</v>
      </c>
      <c r="X7">
        <v>26</v>
      </c>
      <c r="Y7" s="2">
        <v>1040</v>
      </c>
      <c r="Z7" t="s">
        <v>53</v>
      </c>
      <c r="AA7" s="3">
        <v>0.12</v>
      </c>
      <c r="AB7">
        <v>33049930</v>
      </c>
      <c r="AC7">
        <v>120</v>
      </c>
      <c r="AD7" t="s">
        <v>54</v>
      </c>
      <c r="AE7" t="s">
        <v>145</v>
      </c>
      <c r="AF7" t="s">
        <v>56</v>
      </c>
      <c r="AG7" t="s">
        <v>57</v>
      </c>
    </row>
    <row r="8" spans="1:33" x14ac:dyDescent="0.3">
      <c r="A8" t="s">
        <v>33</v>
      </c>
      <c r="B8" t="s">
        <v>146</v>
      </c>
      <c r="C8" s="1">
        <v>44710</v>
      </c>
      <c r="D8" s="1">
        <v>43927</v>
      </c>
      <c r="E8" t="s">
        <v>147</v>
      </c>
      <c r="F8" t="s">
        <v>148</v>
      </c>
      <c r="G8" t="s">
        <v>149</v>
      </c>
      <c r="H8" t="s">
        <v>150</v>
      </c>
      <c r="I8" t="s">
        <v>39</v>
      </c>
      <c r="J8" t="s">
        <v>151</v>
      </c>
      <c r="K8" t="s">
        <v>65</v>
      </c>
      <c r="L8" t="s">
        <v>152</v>
      </c>
      <c r="M8" t="s">
        <v>153</v>
      </c>
      <c r="N8" t="s">
        <v>154</v>
      </c>
      <c r="O8" t="s">
        <v>92</v>
      </c>
      <c r="P8" t="s">
        <v>79</v>
      </c>
      <c r="Q8" t="s">
        <v>93</v>
      </c>
      <c r="R8" t="s">
        <v>48</v>
      </c>
      <c r="S8" t="s">
        <v>155</v>
      </c>
      <c r="T8" t="s">
        <v>72</v>
      </c>
      <c r="U8" t="s">
        <v>51</v>
      </c>
      <c r="V8">
        <v>10</v>
      </c>
      <c r="W8" t="s">
        <v>156</v>
      </c>
      <c r="X8">
        <v>100</v>
      </c>
      <c r="Y8" s="2">
        <v>1000</v>
      </c>
      <c r="Z8" t="s">
        <v>53</v>
      </c>
      <c r="AA8" s="3">
        <v>0.12</v>
      </c>
      <c r="AB8">
        <v>33049930</v>
      </c>
      <c r="AC8">
        <v>120</v>
      </c>
      <c r="AD8" t="s">
        <v>157</v>
      </c>
      <c r="AE8" t="s">
        <v>75</v>
      </c>
      <c r="AF8" t="s">
        <v>109</v>
      </c>
      <c r="AG8" t="s">
        <v>158</v>
      </c>
    </row>
    <row r="9" spans="1:33" x14ac:dyDescent="0.3">
      <c r="A9" t="s">
        <v>33</v>
      </c>
      <c r="B9" t="s">
        <v>159</v>
      </c>
      <c r="C9" s="1">
        <v>44765</v>
      </c>
      <c r="D9" s="1">
        <v>43927</v>
      </c>
      <c r="E9" t="s">
        <v>160</v>
      </c>
      <c r="F9" t="s">
        <v>161</v>
      </c>
      <c r="G9" t="s">
        <v>162</v>
      </c>
      <c r="H9" t="s">
        <v>138</v>
      </c>
      <c r="I9" t="s">
        <v>163</v>
      </c>
      <c r="J9" t="s">
        <v>139</v>
      </c>
      <c r="K9" t="s">
        <v>65</v>
      </c>
      <c r="L9" t="s">
        <v>42</v>
      </c>
      <c r="M9" t="s">
        <v>164</v>
      </c>
      <c r="N9" t="s">
        <v>165</v>
      </c>
      <c r="O9" t="s">
        <v>166</v>
      </c>
      <c r="P9" t="s">
        <v>79</v>
      </c>
      <c r="Q9" t="s">
        <v>167</v>
      </c>
      <c r="R9" t="s">
        <v>122</v>
      </c>
      <c r="S9" t="s">
        <v>71</v>
      </c>
      <c r="T9" t="s">
        <v>72</v>
      </c>
      <c r="U9" t="s">
        <v>168</v>
      </c>
      <c r="V9">
        <v>60</v>
      </c>
      <c r="W9" t="s">
        <v>52</v>
      </c>
      <c r="X9">
        <v>472</v>
      </c>
      <c r="Y9" s="2">
        <v>28300</v>
      </c>
      <c r="Z9" t="s">
        <v>53</v>
      </c>
      <c r="AA9" s="3">
        <v>0.12</v>
      </c>
      <c r="AB9">
        <v>33041000</v>
      </c>
      <c r="AC9">
        <v>3400</v>
      </c>
      <c r="AD9" t="s">
        <v>108</v>
      </c>
      <c r="AE9" t="s">
        <v>126</v>
      </c>
      <c r="AF9" t="s">
        <v>109</v>
      </c>
      <c r="AG9" t="s">
        <v>169</v>
      </c>
    </row>
    <row r="10" spans="1:33" x14ac:dyDescent="0.3">
      <c r="A10" t="s">
        <v>33</v>
      </c>
      <c r="B10" t="s">
        <v>170</v>
      </c>
      <c r="C10" s="1">
        <v>44688</v>
      </c>
      <c r="D10" s="1">
        <v>43927</v>
      </c>
      <c r="E10" t="s">
        <v>171</v>
      </c>
      <c r="F10" t="s">
        <v>172</v>
      </c>
      <c r="G10" t="s">
        <v>173</v>
      </c>
      <c r="H10" t="s">
        <v>174</v>
      </c>
      <c r="I10" t="s">
        <v>175</v>
      </c>
      <c r="J10" t="s">
        <v>89</v>
      </c>
      <c r="K10" t="s">
        <v>41</v>
      </c>
      <c r="L10" t="s">
        <v>117</v>
      </c>
      <c r="M10" t="s">
        <v>176</v>
      </c>
      <c r="N10" t="s">
        <v>177</v>
      </c>
      <c r="O10" t="s">
        <v>78</v>
      </c>
      <c r="P10" t="s">
        <v>79</v>
      </c>
      <c r="Q10" t="s">
        <v>80</v>
      </c>
      <c r="R10" t="s">
        <v>48</v>
      </c>
      <c r="S10" t="s">
        <v>123</v>
      </c>
      <c r="T10" t="s">
        <v>178</v>
      </c>
      <c r="U10" t="s">
        <v>51</v>
      </c>
      <c r="V10">
        <v>60</v>
      </c>
      <c r="W10" t="s">
        <v>52</v>
      </c>
      <c r="X10">
        <v>25</v>
      </c>
      <c r="Y10" s="2">
        <v>1500</v>
      </c>
      <c r="Z10" t="s">
        <v>53</v>
      </c>
      <c r="AA10" s="3">
        <v>0.12</v>
      </c>
      <c r="AB10">
        <v>33071010</v>
      </c>
      <c r="AC10">
        <v>180</v>
      </c>
      <c r="AD10" t="s">
        <v>179</v>
      </c>
      <c r="AE10" t="s">
        <v>180</v>
      </c>
      <c r="AF10" t="s">
        <v>56</v>
      </c>
      <c r="AG10" t="s">
        <v>57</v>
      </c>
    </row>
    <row r="11" spans="1:33" x14ac:dyDescent="0.3">
      <c r="A11" t="s">
        <v>33</v>
      </c>
      <c r="B11" t="s">
        <v>181</v>
      </c>
      <c r="C11" s="1">
        <v>44710</v>
      </c>
      <c r="D11" s="1">
        <v>43927</v>
      </c>
      <c r="E11" t="s">
        <v>182</v>
      </c>
      <c r="F11" t="s">
        <v>183</v>
      </c>
      <c r="G11" t="s">
        <v>184</v>
      </c>
      <c r="H11" t="s">
        <v>38</v>
      </c>
      <c r="I11" t="s">
        <v>185</v>
      </c>
      <c r="J11" t="s">
        <v>186</v>
      </c>
      <c r="K11" t="s">
        <v>65</v>
      </c>
      <c r="L11" t="s">
        <v>187</v>
      </c>
      <c r="M11" t="s">
        <v>118</v>
      </c>
      <c r="N11" t="s">
        <v>119</v>
      </c>
      <c r="O11" t="s">
        <v>81</v>
      </c>
      <c r="P11" t="s">
        <v>46</v>
      </c>
      <c r="Q11" t="s">
        <v>82</v>
      </c>
      <c r="R11" t="s">
        <v>48</v>
      </c>
      <c r="S11" t="s">
        <v>188</v>
      </c>
      <c r="T11" t="s">
        <v>124</v>
      </c>
      <c r="U11" t="s">
        <v>73</v>
      </c>
      <c r="V11">
        <v>60</v>
      </c>
      <c r="W11" t="s">
        <v>156</v>
      </c>
      <c r="X11">
        <v>22</v>
      </c>
      <c r="Y11" s="2">
        <v>1300</v>
      </c>
      <c r="Z11" t="s">
        <v>53</v>
      </c>
      <c r="AA11" s="3">
        <v>0.12</v>
      </c>
      <c r="AB11">
        <v>33030050</v>
      </c>
      <c r="AC11">
        <v>160</v>
      </c>
      <c r="AD11" t="s">
        <v>189</v>
      </c>
      <c r="AE11" t="s">
        <v>145</v>
      </c>
      <c r="AF11" t="s">
        <v>76</v>
      </c>
      <c r="AG11" t="s">
        <v>77</v>
      </c>
    </row>
    <row r="12" spans="1:33" x14ac:dyDescent="0.3">
      <c r="A12" t="s">
        <v>33</v>
      </c>
      <c r="B12" t="s">
        <v>190</v>
      </c>
      <c r="C12" s="1">
        <v>44710</v>
      </c>
      <c r="D12" s="1">
        <v>43927</v>
      </c>
      <c r="E12" t="s">
        <v>191</v>
      </c>
      <c r="F12" t="s">
        <v>192</v>
      </c>
      <c r="G12" t="s">
        <v>193</v>
      </c>
      <c r="H12" t="s">
        <v>38</v>
      </c>
      <c r="I12" t="s">
        <v>185</v>
      </c>
      <c r="J12" t="s">
        <v>40</v>
      </c>
      <c r="K12" t="s">
        <v>194</v>
      </c>
      <c r="L12" t="s">
        <v>42</v>
      </c>
      <c r="M12" t="s">
        <v>195</v>
      </c>
      <c r="N12" t="s">
        <v>196</v>
      </c>
      <c r="O12" t="s">
        <v>83</v>
      </c>
      <c r="P12" t="s">
        <v>46</v>
      </c>
      <c r="Q12" t="s">
        <v>84</v>
      </c>
      <c r="R12" t="s">
        <v>70</v>
      </c>
      <c r="S12" t="s">
        <v>49</v>
      </c>
      <c r="T12" t="s">
        <v>197</v>
      </c>
      <c r="U12" t="s">
        <v>144</v>
      </c>
      <c r="V12">
        <v>60</v>
      </c>
      <c r="W12" t="s">
        <v>198</v>
      </c>
      <c r="X12">
        <v>24</v>
      </c>
      <c r="Y12" s="2">
        <v>1440</v>
      </c>
      <c r="Z12" t="s">
        <v>53</v>
      </c>
      <c r="AA12" s="3">
        <v>0.12</v>
      </c>
      <c r="AB12">
        <v>33051010</v>
      </c>
      <c r="AC12">
        <v>170</v>
      </c>
      <c r="AD12" t="s">
        <v>157</v>
      </c>
      <c r="AE12" t="s">
        <v>126</v>
      </c>
      <c r="AF12" t="s">
        <v>109</v>
      </c>
      <c r="AG12" t="s">
        <v>199</v>
      </c>
    </row>
    <row r="13" spans="1:33" x14ac:dyDescent="0.3">
      <c r="A13" t="s">
        <v>33</v>
      </c>
      <c r="B13" t="s">
        <v>200</v>
      </c>
      <c r="C13" s="1">
        <v>44688</v>
      </c>
      <c r="D13" s="1">
        <v>43927</v>
      </c>
      <c r="E13" t="s">
        <v>201</v>
      </c>
      <c r="F13" t="s">
        <v>202</v>
      </c>
      <c r="G13" t="s">
        <v>203</v>
      </c>
      <c r="H13" t="s">
        <v>62</v>
      </c>
      <c r="I13" t="s">
        <v>185</v>
      </c>
      <c r="J13" t="s">
        <v>64</v>
      </c>
      <c r="K13" t="s">
        <v>41</v>
      </c>
      <c r="L13" t="s">
        <v>42</v>
      </c>
      <c r="M13" t="s">
        <v>204</v>
      </c>
      <c r="N13" t="s">
        <v>205</v>
      </c>
      <c r="O13" t="s">
        <v>206</v>
      </c>
      <c r="P13" t="s">
        <v>46</v>
      </c>
      <c r="Q13" t="s">
        <v>207</v>
      </c>
      <c r="R13" t="s">
        <v>70</v>
      </c>
      <c r="S13" t="s">
        <v>71</v>
      </c>
      <c r="T13" t="s">
        <v>208</v>
      </c>
      <c r="U13" t="s">
        <v>168</v>
      </c>
      <c r="V13">
        <v>40</v>
      </c>
      <c r="W13" t="s">
        <v>52</v>
      </c>
      <c r="X13">
        <v>69</v>
      </c>
      <c r="Y13" s="2">
        <v>2760</v>
      </c>
      <c r="Z13" t="s">
        <v>53</v>
      </c>
      <c r="AA13" s="3">
        <v>0.12</v>
      </c>
      <c r="AB13">
        <v>33059090</v>
      </c>
      <c r="AC13">
        <v>330</v>
      </c>
      <c r="AD13" t="s">
        <v>95</v>
      </c>
      <c r="AE13" t="s">
        <v>209</v>
      </c>
      <c r="AF13" t="s">
        <v>56</v>
      </c>
      <c r="AG13" t="s">
        <v>127</v>
      </c>
    </row>
    <row r="14" spans="1:33" x14ac:dyDescent="0.3">
      <c r="A14" t="s">
        <v>33</v>
      </c>
      <c r="B14" t="s">
        <v>210</v>
      </c>
      <c r="C14" s="1">
        <v>44688</v>
      </c>
      <c r="D14" s="1">
        <v>43927</v>
      </c>
      <c r="E14" t="s">
        <v>211</v>
      </c>
      <c r="F14" t="s">
        <v>212</v>
      </c>
      <c r="G14" t="s">
        <v>213</v>
      </c>
      <c r="H14" t="s">
        <v>62</v>
      </c>
      <c r="I14" t="s">
        <v>163</v>
      </c>
      <c r="J14" t="s">
        <v>151</v>
      </c>
      <c r="K14" t="s">
        <v>194</v>
      </c>
      <c r="L14" t="s">
        <v>42</v>
      </c>
      <c r="M14" t="s">
        <v>90</v>
      </c>
      <c r="N14" t="s">
        <v>214</v>
      </c>
      <c r="O14" t="s">
        <v>215</v>
      </c>
      <c r="P14" t="s">
        <v>46</v>
      </c>
      <c r="Q14" t="s">
        <v>216</v>
      </c>
      <c r="R14" t="s">
        <v>70</v>
      </c>
      <c r="S14" t="s">
        <v>49</v>
      </c>
      <c r="T14" t="s">
        <v>50</v>
      </c>
      <c r="U14" t="s">
        <v>51</v>
      </c>
      <c r="V14">
        <v>1800</v>
      </c>
      <c r="W14" t="s">
        <v>52</v>
      </c>
      <c r="X14">
        <v>83</v>
      </c>
      <c r="Y14" s="2">
        <v>149760</v>
      </c>
      <c r="Z14" t="s">
        <v>53</v>
      </c>
      <c r="AA14" s="3">
        <v>0.12</v>
      </c>
      <c r="AB14">
        <v>33049930</v>
      </c>
      <c r="AC14">
        <v>17970</v>
      </c>
      <c r="AD14" t="s">
        <v>217</v>
      </c>
      <c r="AE14" t="s">
        <v>96</v>
      </c>
      <c r="AF14" t="s">
        <v>76</v>
      </c>
      <c r="AG14" t="s">
        <v>218</v>
      </c>
    </row>
    <row r="15" spans="1:33" x14ac:dyDescent="0.3">
      <c r="A15" t="s">
        <v>33</v>
      </c>
      <c r="B15" t="s">
        <v>223</v>
      </c>
      <c r="C15" s="1">
        <v>44692</v>
      </c>
      <c r="D15" s="1">
        <v>43931</v>
      </c>
      <c r="E15" t="s">
        <v>224</v>
      </c>
      <c r="F15" t="s">
        <v>225</v>
      </c>
      <c r="G15" t="s">
        <v>226</v>
      </c>
      <c r="H15" t="s">
        <v>62</v>
      </c>
      <c r="I15" t="s">
        <v>63</v>
      </c>
      <c r="J15" t="s">
        <v>186</v>
      </c>
      <c r="K15" t="s">
        <v>41</v>
      </c>
      <c r="L15" t="s">
        <v>42</v>
      </c>
      <c r="M15" t="s">
        <v>140</v>
      </c>
      <c r="N15" t="s">
        <v>227</v>
      </c>
      <c r="O15" t="s">
        <v>228</v>
      </c>
      <c r="P15" t="s">
        <v>46</v>
      </c>
      <c r="Q15" t="s">
        <v>229</v>
      </c>
      <c r="R15" t="s">
        <v>107</v>
      </c>
      <c r="S15" t="s">
        <v>49</v>
      </c>
      <c r="T15" t="s">
        <v>72</v>
      </c>
      <c r="U15" t="s">
        <v>51</v>
      </c>
      <c r="V15">
        <v>10</v>
      </c>
      <c r="W15" t="s">
        <v>52</v>
      </c>
      <c r="X15" s="2">
        <v>1250</v>
      </c>
      <c r="Y15" s="2">
        <v>12500</v>
      </c>
      <c r="Z15" t="s">
        <v>53</v>
      </c>
      <c r="AA15" s="3">
        <v>0.12</v>
      </c>
      <c r="AB15">
        <v>33012948</v>
      </c>
      <c r="AC15">
        <v>1500</v>
      </c>
      <c r="AD15" t="s">
        <v>95</v>
      </c>
      <c r="AE15" t="s">
        <v>126</v>
      </c>
      <c r="AF15" t="s">
        <v>56</v>
      </c>
      <c r="AG15" t="s">
        <v>77</v>
      </c>
    </row>
    <row r="16" spans="1:33" x14ac:dyDescent="0.3">
      <c r="A16" t="s">
        <v>33</v>
      </c>
      <c r="B16" t="s">
        <v>230</v>
      </c>
      <c r="C16" s="1">
        <v>44693</v>
      </c>
      <c r="D16" s="1">
        <v>43932</v>
      </c>
      <c r="E16" t="s">
        <v>231</v>
      </c>
      <c r="F16" t="s">
        <v>232</v>
      </c>
      <c r="G16" t="s">
        <v>233</v>
      </c>
      <c r="H16" t="s">
        <v>174</v>
      </c>
      <c r="I16" t="s">
        <v>163</v>
      </c>
      <c r="J16" t="s">
        <v>234</v>
      </c>
      <c r="K16" t="s">
        <v>194</v>
      </c>
      <c r="L16" t="s">
        <v>117</v>
      </c>
      <c r="M16" t="s">
        <v>235</v>
      </c>
      <c r="N16" t="s">
        <v>236</v>
      </c>
      <c r="O16" t="s">
        <v>237</v>
      </c>
      <c r="P16" t="s">
        <v>46</v>
      </c>
      <c r="Q16" t="s">
        <v>238</v>
      </c>
      <c r="R16" t="s">
        <v>48</v>
      </c>
      <c r="S16" t="s">
        <v>123</v>
      </c>
      <c r="T16" t="s">
        <v>124</v>
      </c>
      <c r="U16" t="s">
        <v>51</v>
      </c>
      <c r="V16">
        <v>50</v>
      </c>
      <c r="W16" t="s">
        <v>52</v>
      </c>
      <c r="X16">
        <v>21</v>
      </c>
      <c r="Y16" s="2">
        <v>1050</v>
      </c>
      <c r="Z16" t="s">
        <v>53</v>
      </c>
      <c r="AA16" s="3">
        <v>0.12</v>
      </c>
      <c r="AB16">
        <v>33012948</v>
      </c>
      <c r="AC16">
        <v>130</v>
      </c>
      <c r="AD16" t="s">
        <v>108</v>
      </c>
      <c r="AE16" t="s">
        <v>96</v>
      </c>
      <c r="AF16" t="s">
        <v>109</v>
      </c>
      <c r="AG16" t="s">
        <v>127</v>
      </c>
    </row>
    <row r="17" spans="1:33" x14ac:dyDescent="0.3">
      <c r="A17" t="s">
        <v>33</v>
      </c>
      <c r="B17" t="s">
        <v>239</v>
      </c>
      <c r="C17" s="1">
        <v>44693</v>
      </c>
      <c r="D17" s="1">
        <v>43932</v>
      </c>
      <c r="E17" t="s">
        <v>240</v>
      </c>
      <c r="F17" t="s">
        <v>241</v>
      </c>
      <c r="G17" t="s">
        <v>242</v>
      </c>
      <c r="H17" t="s">
        <v>150</v>
      </c>
      <c r="I17" t="s">
        <v>185</v>
      </c>
      <c r="J17" t="s">
        <v>243</v>
      </c>
      <c r="K17" t="s">
        <v>41</v>
      </c>
      <c r="L17" t="s">
        <v>187</v>
      </c>
      <c r="M17" t="s">
        <v>244</v>
      </c>
      <c r="N17" t="s">
        <v>245</v>
      </c>
      <c r="O17" t="s">
        <v>246</v>
      </c>
      <c r="P17" t="s">
        <v>247</v>
      </c>
      <c r="Q17" t="s">
        <v>248</v>
      </c>
      <c r="R17" t="s">
        <v>122</v>
      </c>
      <c r="S17" t="s">
        <v>188</v>
      </c>
      <c r="T17" t="s">
        <v>197</v>
      </c>
      <c r="U17" t="s">
        <v>51</v>
      </c>
      <c r="V17">
        <v>50</v>
      </c>
      <c r="W17" t="s">
        <v>52</v>
      </c>
      <c r="X17">
        <v>150</v>
      </c>
      <c r="Y17" s="2">
        <v>7490</v>
      </c>
      <c r="Z17" t="s">
        <v>53</v>
      </c>
      <c r="AA17" s="3">
        <v>0.12</v>
      </c>
      <c r="AB17">
        <v>33051010</v>
      </c>
      <c r="AC17">
        <v>900</v>
      </c>
      <c r="AD17" t="s">
        <v>179</v>
      </c>
      <c r="AE17" t="s">
        <v>55</v>
      </c>
      <c r="AF17" t="s">
        <v>109</v>
      </c>
      <c r="AG17" t="s">
        <v>57</v>
      </c>
    </row>
    <row r="18" spans="1:33" x14ac:dyDescent="0.3">
      <c r="A18" t="s">
        <v>33</v>
      </c>
      <c r="B18" t="s">
        <v>249</v>
      </c>
      <c r="C18" s="1">
        <v>44678</v>
      </c>
      <c r="D18" s="1">
        <v>43932</v>
      </c>
      <c r="E18" t="s">
        <v>250</v>
      </c>
      <c r="F18" t="s">
        <v>251</v>
      </c>
      <c r="G18" t="s">
        <v>252</v>
      </c>
      <c r="H18" t="s">
        <v>38</v>
      </c>
      <c r="I18" t="s">
        <v>163</v>
      </c>
      <c r="J18" t="s">
        <v>40</v>
      </c>
      <c r="K18" t="s">
        <v>41</v>
      </c>
      <c r="L18" t="s">
        <v>253</v>
      </c>
      <c r="M18" t="s">
        <v>103</v>
      </c>
      <c r="N18" t="s">
        <v>254</v>
      </c>
      <c r="O18" t="s">
        <v>255</v>
      </c>
      <c r="P18" t="s">
        <v>247</v>
      </c>
      <c r="Q18" t="s">
        <v>256</v>
      </c>
      <c r="R18" t="s">
        <v>122</v>
      </c>
      <c r="S18" t="s">
        <v>71</v>
      </c>
      <c r="T18" t="s">
        <v>208</v>
      </c>
      <c r="U18" t="s">
        <v>73</v>
      </c>
      <c r="V18">
        <v>50</v>
      </c>
      <c r="W18" t="s">
        <v>52</v>
      </c>
      <c r="X18">
        <v>139</v>
      </c>
      <c r="Y18" s="2">
        <v>6950</v>
      </c>
      <c r="Z18" t="s">
        <v>53</v>
      </c>
      <c r="AA18" s="3">
        <v>0.12</v>
      </c>
      <c r="AB18">
        <v>33059090</v>
      </c>
      <c r="AC18">
        <v>830</v>
      </c>
      <c r="AD18" t="s">
        <v>189</v>
      </c>
      <c r="AE18" t="s">
        <v>75</v>
      </c>
      <c r="AF18" t="s">
        <v>109</v>
      </c>
      <c r="AG18" t="s">
        <v>77</v>
      </c>
    </row>
    <row r="19" spans="1:33" x14ac:dyDescent="0.3">
      <c r="A19" t="s">
        <v>33</v>
      </c>
      <c r="B19" t="s">
        <v>263</v>
      </c>
      <c r="C19" s="1">
        <v>44675</v>
      </c>
      <c r="D19" s="1">
        <v>43932</v>
      </c>
      <c r="E19" t="s">
        <v>264</v>
      </c>
      <c r="F19" t="s">
        <v>265</v>
      </c>
      <c r="G19" t="s">
        <v>266</v>
      </c>
      <c r="H19" t="s">
        <v>38</v>
      </c>
      <c r="I19" t="s">
        <v>163</v>
      </c>
      <c r="J19" t="s">
        <v>89</v>
      </c>
      <c r="K19" t="s">
        <v>65</v>
      </c>
      <c r="L19" t="s">
        <v>117</v>
      </c>
      <c r="M19" t="s">
        <v>267</v>
      </c>
      <c r="N19" t="s">
        <v>268</v>
      </c>
      <c r="O19" t="s">
        <v>269</v>
      </c>
      <c r="P19" t="s">
        <v>247</v>
      </c>
      <c r="Q19" t="s">
        <v>270</v>
      </c>
      <c r="R19" t="s">
        <v>107</v>
      </c>
      <c r="S19" t="s">
        <v>123</v>
      </c>
      <c r="T19" t="s">
        <v>178</v>
      </c>
      <c r="U19" t="s">
        <v>51</v>
      </c>
      <c r="V19">
        <v>10</v>
      </c>
      <c r="W19" t="s">
        <v>52</v>
      </c>
      <c r="X19">
        <v>151</v>
      </c>
      <c r="Y19" s="2">
        <v>1510</v>
      </c>
      <c r="Z19" t="s">
        <v>53</v>
      </c>
      <c r="AA19" s="3">
        <v>0.12</v>
      </c>
      <c r="AB19">
        <v>33041000</v>
      </c>
      <c r="AC19">
        <v>180</v>
      </c>
      <c r="AD19" t="s">
        <v>217</v>
      </c>
      <c r="AE19" t="s">
        <v>96</v>
      </c>
      <c r="AF19" t="s">
        <v>56</v>
      </c>
      <c r="AG19" t="s">
        <v>77</v>
      </c>
    </row>
    <row r="20" spans="1:33" x14ac:dyDescent="0.3">
      <c r="A20" t="s">
        <v>33</v>
      </c>
      <c r="B20" t="s">
        <v>271</v>
      </c>
      <c r="C20" s="1">
        <v>44679</v>
      </c>
      <c r="D20" s="1">
        <v>43936</v>
      </c>
      <c r="E20" t="s">
        <v>272</v>
      </c>
      <c r="F20" t="s">
        <v>273</v>
      </c>
      <c r="G20" t="s">
        <v>274</v>
      </c>
      <c r="H20" t="s">
        <v>62</v>
      </c>
      <c r="I20" t="s">
        <v>63</v>
      </c>
      <c r="J20" t="s">
        <v>186</v>
      </c>
      <c r="K20" t="s">
        <v>41</v>
      </c>
      <c r="L20" t="s">
        <v>187</v>
      </c>
      <c r="M20" t="s">
        <v>235</v>
      </c>
      <c r="N20" t="s">
        <v>236</v>
      </c>
      <c r="O20" t="s">
        <v>275</v>
      </c>
      <c r="P20" t="s">
        <v>276</v>
      </c>
      <c r="Q20" t="s">
        <v>277</v>
      </c>
      <c r="R20" t="s">
        <v>107</v>
      </c>
      <c r="S20" t="s">
        <v>188</v>
      </c>
      <c r="T20" t="s">
        <v>124</v>
      </c>
      <c r="U20" t="s">
        <v>51</v>
      </c>
      <c r="V20">
        <v>10</v>
      </c>
      <c r="W20" t="s">
        <v>52</v>
      </c>
      <c r="X20">
        <v>150</v>
      </c>
      <c r="Y20" s="2">
        <v>1500</v>
      </c>
      <c r="Z20" t="s">
        <v>53</v>
      </c>
      <c r="AA20" s="3">
        <v>0.12</v>
      </c>
      <c r="AB20">
        <v>33071010</v>
      </c>
      <c r="AC20">
        <v>180</v>
      </c>
      <c r="AD20" t="s">
        <v>108</v>
      </c>
      <c r="AE20" t="s">
        <v>55</v>
      </c>
      <c r="AF20" t="s">
        <v>76</v>
      </c>
      <c r="AG20" t="s">
        <v>199</v>
      </c>
    </row>
    <row r="21" spans="1:33" x14ac:dyDescent="0.3">
      <c r="A21" t="s">
        <v>33</v>
      </c>
      <c r="B21" t="s">
        <v>278</v>
      </c>
      <c r="C21" s="1">
        <v>44679</v>
      </c>
      <c r="D21" s="1">
        <v>43936</v>
      </c>
      <c r="E21" t="s">
        <v>279</v>
      </c>
      <c r="F21" t="s">
        <v>280</v>
      </c>
      <c r="G21" t="s">
        <v>281</v>
      </c>
      <c r="H21" t="s">
        <v>38</v>
      </c>
      <c r="I21" t="s">
        <v>163</v>
      </c>
      <c r="J21" t="s">
        <v>102</v>
      </c>
      <c r="K21" t="s">
        <v>65</v>
      </c>
      <c r="L21" t="s">
        <v>152</v>
      </c>
      <c r="M21" t="s">
        <v>244</v>
      </c>
      <c r="N21" t="s">
        <v>282</v>
      </c>
      <c r="O21" t="s">
        <v>283</v>
      </c>
      <c r="P21" t="s">
        <v>276</v>
      </c>
      <c r="Q21" t="s">
        <v>284</v>
      </c>
      <c r="R21" t="s">
        <v>48</v>
      </c>
      <c r="S21" t="s">
        <v>155</v>
      </c>
      <c r="T21" t="s">
        <v>197</v>
      </c>
      <c r="U21" t="s">
        <v>73</v>
      </c>
      <c r="V21">
        <v>10</v>
      </c>
      <c r="W21" t="s">
        <v>52</v>
      </c>
      <c r="X21">
        <v>182</v>
      </c>
      <c r="Y21" s="2">
        <v>1820</v>
      </c>
      <c r="Z21" t="s">
        <v>53</v>
      </c>
      <c r="AA21" s="3">
        <v>0.12</v>
      </c>
      <c r="AB21">
        <v>33030050</v>
      </c>
      <c r="AC21">
        <v>220</v>
      </c>
      <c r="AD21" t="s">
        <v>54</v>
      </c>
      <c r="AE21" t="s">
        <v>75</v>
      </c>
      <c r="AF21" t="s">
        <v>56</v>
      </c>
      <c r="AG21" t="s">
        <v>127</v>
      </c>
    </row>
    <row r="22" spans="1:33" x14ac:dyDescent="0.3">
      <c r="A22" t="s">
        <v>33</v>
      </c>
      <c r="B22" t="s">
        <v>285</v>
      </c>
      <c r="C22" s="1">
        <v>44680</v>
      </c>
      <c r="D22" s="1">
        <v>43937</v>
      </c>
      <c r="E22" t="s">
        <v>286</v>
      </c>
      <c r="F22" t="s">
        <v>287</v>
      </c>
      <c r="G22" t="s">
        <v>288</v>
      </c>
      <c r="H22" t="s">
        <v>62</v>
      </c>
      <c r="I22" t="s">
        <v>39</v>
      </c>
      <c r="J22" t="s">
        <v>234</v>
      </c>
      <c r="K22" t="s">
        <v>194</v>
      </c>
      <c r="L22" t="s">
        <v>42</v>
      </c>
      <c r="M22" t="s">
        <v>90</v>
      </c>
      <c r="N22" t="s">
        <v>214</v>
      </c>
      <c r="O22" t="s">
        <v>289</v>
      </c>
      <c r="P22" t="s">
        <v>276</v>
      </c>
      <c r="Q22" t="s">
        <v>290</v>
      </c>
      <c r="R22" t="s">
        <v>48</v>
      </c>
      <c r="S22" t="s">
        <v>49</v>
      </c>
      <c r="T22" t="s">
        <v>208</v>
      </c>
      <c r="U22" t="s">
        <v>51</v>
      </c>
      <c r="V22">
        <v>10</v>
      </c>
      <c r="W22" t="s">
        <v>52</v>
      </c>
      <c r="X22">
        <v>343</v>
      </c>
      <c r="Y22" s="2">
        <v>3430</v>
      </c>
      <c r="Z22" t="s">
        <v>53</v>
      </c>
      <c r="AA22" s="3">
        <v>0.12</v>
      </c>
      <c r="AB22">
        <v>33013091</v>
      </c>
      <c r="AC22">
        <v>410</v>
      </c>
      <c r="AD22" t="s">
        <v>74</v>
      </c>
      <c r="AE22" t="s">
        <v>180</v>
      </c>
      <c r="AF22" t="s">
        <v>76</v>
      </c>
      <c r="AG22" t="s">
        <v>218</v>
      </c>
    </row>
    <row r="23" spans="1:33" x14ac:dyDescent="0.3">
      <c r="A23" t="s">
        <v>33</v>
      </c>
      <c r="B23" t="s">
        <v>291</v>
      </c>
      <c r="C23" s="1">
        <v>44670</v>
      </c>
      <c r="D23" s="1">
        <v>43938</v>
      </c>
      <c r="E23" t="s">
        <v>292</v>
      </c>
      <c r="F23" t="s">
        <v>293</v>
      </c>
      <c r="G23" t="s">
        <v>294</v>
      </c>
      <c r="H23" t="s">
        <v>138</v>
      </c>
      <c r="I23" t="s">
        <v>39</v>
      </c>
      <c r="J23" t="s">
        <v>243</v>
      </c>
      <c r="K23" t="s">
        <v>41</v>
      </c>
      <c r="L23" t="s">
        <v>42</v>
      </c>
      <c r="M23" t="s">
        <v>43</v>
      </c>
      <c r="N23" t="s">
        <v>295</v>
      </c>
      <c r="O23" t="s">
        <v>296</v>
      </c>
      <c r="P23" t="s">
        <v>276</v>
      </c>
      <c r="Q23" t="s">
        <v>297</v>
      </c>
      <c r="R23" t="s">
        <v>122</v>
      </c>
      <c r="S23" t="s">
        <v>49</v>
      </c>
      <c r="T23" t="s">
        <v>50</v>
      </c>
      <c r="U23" t="s">
        <v>73</v>
      </c>
      <c r="V23">
        <v>30</v>
      </c>
      <c r="W23" t="s">
        <v>298</v>
      </c>
      <c r="X23" s="2">
        <v>2775</v>
      </c>
      <c r="Y23" s="2">
        <v>83250</v>
      </c>
      <c r="Z23" t="s">
        <v>53</v>
      </c>
      <c r="AA23" s="3">
        <v>0.12</v>
      </c>
      <c r="AB23">
        <v>33012948</v>
      </c>
      <c r="AC23">
        <v>9990</v>
      </c>
      <c r="AD23" t="s">
        <v>125</v>
      </c>
      <c r="AE23" t="s">
        <v>145</v>
      </c>
      <c r="AF23" t="s">
        <v>109</v>
      </c>
      <c r="AG23" t="s">
        <v>158</v>
      </c>
    </row>
    <row r="24" spans="1:33" x14ac:dyDescent="0.3">
      <c r="A24" t="s">
        <v>33</v>
      </c>
      <c r="B24" t="s">
        <v>299</v>
      </c>
      <c r="C24" s="1">
        <v>44681</v>
      </c>
      <c r="D24" s="1">
        <v>43944</v>
      </c>
      <c r="E24" t="s">
        <v>300</v>
      </c>
      <c r="F24" t="s">
        <v>301</v>
      </c>
      <c r="G24" t="s">
        <v>302</v>
      </c>
      <c r="H24" t="s">
        <v>38</v>
      </c>
      <c r="I24" t="s">
        <v>185</v>
      </c>
      <c r="J24" t="s">
        <v>40</v>
      </c>
      <c r="K24" t="s">
        <v>194</v>
      </c>
      <c r="L24" t="s">
        <v>253</v>
      </c>
      <c r="M24" t="s">
        <v>235</v>
      </c>
      <c r="N24" t="s">
        <v>236</v>
      </c>
      <c r="O24" t="s">
        <v>303</v>
      </c>
      <c r="P24" t="s">
        <v>247</v>
      </c>
      <c r="Q24" t="s">
        <v>304</v>
      </c>
      <c r="R24" t="s">
        <v>70</v>
      </c>
      <c r="S24" t="s">
        <v>71</v>
      </c>
      <c r="T24" t="s">
        <v>197</v>
      </c>
      <c r="U24" t="s">
        <v>168</v>
      </c>
      <c r="V24">
        <v>70</v>
      </c>
      <c r="W24" t="s">
        <v>52</v>
      </c>
      <c r="X24" s="2">
        <v>10547</v>
      </c>
      <c r="Y24" s="2">
        <v>738280</v>
      </c>
      <c r="Z24" t="s">
        <v>53</v>
      </c>
      <c r="AA24" s="3">
        <v>0.12</v>
      </c>
      <c r="AB24">
        <v>33051010</v>
      </c>
      <c r="AC24">
        <v>88590</v>
      </c>
      <c r="AD24" t="s">
        <v>95</v>
      </c>
      <c r="AE24" t="s">
        <v>145</v>
      </c>
      <c r="AF24" t="s">
        <v>56</v>
      </c>
      <c r="AG24" t="s">
        <v>199</v>
      </c>
    </row>
    <row r="25" spans="1:33" x14ac:dyDescent="0.3">
      <c r="A25" t="s">
        <v>33</v>
      </c>
      <c r="B25" t="s">
        <v>305</v>
      </c>
      <c r="C25" s="1">
        <v>44680</v>
      </c>
      <c r="D25" s="1">
        <v>43948</v>
      </c>
      <c r="E25" t="s">
        <v>306</v>
      </c>
      <c r="F25" t="s">
        <v>307</v>
      </c>
      <c r="G25" t="s">
        <v>308</v>
      </c>
      <c r="H25" t="s">
        <v>38</v>
      </c>
      <c r="I25" t="s">
        <v>39</v>
      </c>
      <c r="J25" t="s">
        <v>139</v>
      </c>
      <c r="K25" t="s">
        <v>65</v>
      </c>
      <c r="L25" t="s">
        <v>42</v>
      </c>
      <c r="M25" t="s">
        <v>164</v>
      </c>
      <c r="N25" t="s">
        <v>309</v>
      </c>
      <c r="O25" t="s">
        <v>310</v>
      </c>
      <c r="P25" t="s">
        <v>247</v>
      </c>
      <c r="Q25" t="s">
        <v>311</v>
      </c>
      <c r="R25" t="s">
        <v>94</v>
      </c>
      <c r="S25" t="s">
        <v>49</v>
      </c>
      <c r="T25" t="s">
        <v>50</v>
      </c>
      <c r="U25" t="s">
        <v>51</v>
      </c>
      <c r="V25">
        <v>70</v>
      </c>
      <c r="W25" t="s">
        <v>52</v>
      </c>
      <c r="X25">
        <v>816</v>
      </c>
      <c r="Y25" s="2">
        <v>57120</v>
      </c>
      <c r="Z25" t="s">
        <v>53</v>
      </c>
      <c r="AA25" s="3">
        <v>0.12</v>
      </c>
      <c r="AB25">
        <v>33059090</v>
      </c>
      <c r="AC25">
        <v>6850</v>
      </c>
      <c r="AD25" t="s">
        <v>74</v>
      </c>
      <c r="AE25" t="s">
        <v>126</v>
      </c>
      <c r="AF25" t="s">
        <v>76</v>
      </c>
      <c r="AG25" t="s">
        <v>97</v>
      </c>
    </row>
    <row r="26" spans="1:33" x14ac:dyDescent="0.3">
      <c r="A26" t="s">
        <v>33</v>
      </c>
      <c r="B26" t="s">
        <v>314</v>
      </c>
      <c r="C26" s="1">
        <v>44683</v>
      </c>
      <c r="D26" s="1">
        <v>43951</v>
      </c>
      <c r="E26" t="s">
        <v>315</v>
      </c>
      <c r="F26" t="s">
        <v>316</v>
      </c>
      <c r="G26" t="s">
        <v>317</v>
      </c>
      <c r="H26" t="s">
        <v>150</v>
      </c>
      <c r="I26" t="s">
        <v>163</v>
      </c>
      <c r="J26" t="s">
        <v>234</v>
      </c>
      <c r="K26" t="s">
        <v>41</v>
      </c>
      <c r="L26" t="s">
        <v>253</v>
      </c>
      <c r="M26" t="s">
        <v>204</v>
      </c>
      <c r="N26" t="s">
        <v>205</v>
      </c>
      <c r="O26" t="s">
        <v>318</v>
      </c>
      <c r="P26" t="s">
        <v>247</v>
      </c>
      <c r="Q26" t="s">
        <v>319</v>
      </c>
      <c r="R26" t="s">
        <v>48</v>
      </c>
      <c r="S26" t="s">
        <v>71</v>
      </c>
      <c r="T26" t="s">
        <v>178</v>
      </c>
      <c r="U26" t="s">
        <v>144</v>
      </c>
      <c r="V26">
        <v>20</v>
      </c>
      <c r="W26" t="s">
        <v>52</v>
      </c>
      <c r="X26">
        <v>150</v>
      </c>
      <c r="Y26" s="2">
        <v>3000</v>
      </c>
      <c r="Z26" t="s">
        <v>53</v>
      </c>
      <c r="AA26" s="3">
        <v>0.12</v>
      </c>
      <c r="AB26">
        <v>33030050</v>
      </c>
      <c r="AC26">
        <v>360</v>
      </c>
      <c r="AD26" t="s">
        <v>320</v>
      </c>
      <c r="AE26" t="s">
        <v>209</v>
      </c>
      <c r="AF26" t="s">
        <v>76</v>
      </c>
      <c r="AG26" t="s">
        <v>57</v>
      </c>
    </row>
    <row r="27" spans="1:33" x14ac:dyDescent="0.3">
      <c r="A27" t="s">
        <v>33</v>
      </c>
      <c r="B27" t="s">
        <v>333</v>
      </c>
      <c r="C27" s="1">
        <v>44692</v>
      </c>
      <c r="D27" s="1">
        <v>43952</v>
      </c>
      <c r="E27" t="s">
        <v>334</v>
      </c>
      <c r="F27" t="s">
        <v>335</v>
      </c>
      <c r="G27" t="s">
        <v>336</v>
      </c>
      <c r="H27" t="s">
        <v>38</v>
      </c>
      <c r="I27" t="s">
        <v>185</v>
      </c>
      <c r="J27" t="s">
        <v>243</v>
      </c>
      <c r="K27" t="s">
        <v>41</v>
      </c>
      <c r="L27" t="s">
        <v>42</v>
      </c>
      <c r="M27" t="s">
        <v>164</v>
      </c>
      <c r="N27" t="s">
        <v>309</v>
      </c>
      <c r="O27" t="s">
        <v>337</v>
      </c>
      <c r="P27" t="s">
        <v>338</v>
      </c>
      <c r="Q27" t="s">
        <v>339</v>
      </c>
      <c r="R27" t="s">
        <v>94</v>
      </c>
      <c r="S27" t="s">
        <v>49</v>
      </c>
      <c r="T27" t="s">
        <v>197</v>
      </c>
      <c r="U27" t="s">
        <v>73</v>
      </c>
      <c r="V27">
        <v>100</v>
      </c>
      <c r="W27" t="s">
        <v>52</v>
      </c>
      <c r="X27">
        <v>149</v>
      </c>
      <c r="Y27" s="2">
        <v>14870</v>
      </c>
      <c r="Z27" t="s">
        <v>53</v>
      </c>
      <c r="AA27" s="3">
        <v>0.12</v>
      </c>
      <c r="AB27">
        <v>33051010</v>
      </c>
      <c r="AC27">
        <v>1780</v>
      </c>
      <c r="AD27" t="s">
        <v>157</v>
      </c>
      <c r="AE27" t="s">
        <v>145</v>
      </c>
      <c r="AF27" t="s">
        <v>76</v>
      </c>
      <c r="AG27" t="s">
        <v>77</v>
      </c>
    </row>
    <row r="28" spans="1:33" x14ac:dyDescent="0.3">
      <c r="A28" t="s">
        <v>33</v>
      </c>
      <c r="B28" t="s">
        <v>342</v>
      </c>
      <c r="C28" s="1">
        <v>44692</v>
      </c>
      <c r="D28" s="1">
        <v>43952</v>
      </c>
      <c r="E28" t="s">
        <v>343</v>
      </c>
      <c r="F28" t="s">
        <v>344</v>
      </c>
      <c r="G28" t="s">
        <v>345</v>
      </c>
      <c r="H28" t="s">
        <v>62</v>
      </c>
      <c r="I28" t="s">
        <v>163</v>
      </c>
      <c r="J28" t="s">
        <v>346</v>
      </c>
      <c r="K28" t="s">
        <v>41</v>
      </c>
      <c r="L28" t="s">
        <v>42</v>
      </c>
      <c r="M28" t="s">
        <v>195</v>
      </c>
      <c r="N28" t="s">
        <v>347</v>
      </c>
      <c r="O28" t="s">
        <v>348</v>
      </c>
      <c r="P28" t="s">
        <v>247</v>
      </c>
      <c r="Q28" t="s">
        <v>349</v>
      </c>
      <c r="R28" t="s">
        <v>48</v>
      </c>
      <c r="S28" t="s">
        <v>49</v>
      </c>
      <c r="T28" t="s">
        <v>178</v>
      </c>
      <c r="U28" t="s">
        <v>73</v>
      </c>
      <c r="V28">
        <v>200</v>
      </c>
      <c r="W28" t="s">
        <v>52</v>
      </c>
      <c r="X28">
        <v>61</v>
      </c>
      <c r="Y28" s="2">
        <v>12220</v>
      </c>
      <c r="Z28" t="s">
        <v>53</v>
      </c>
      <c r="AA28" s="3">
        <v>0.12</v>
      </c>
      <c r="AB28">
        <v>33041000</v>
      </c>
      <c r="AC28">
        <v>1470</v>
      </c>
      <c r="AD28" t="s">
        <v>108</v>
      </c>
      <c r="AE28" t="s">
        <v>145</v>
      </c>
      <c r="AF28" t="s">
        <v>56</v>
      </c>
      <c r="AG28" t="s">
        <v>218</v>
      </c>
    </row>
    <row r="29" spans="1:33" x14ac:dyDescent="0.3">
      <c r="A29" t="s">
        <v>33</v>
      </c>
      <c r="B29" t="s">
        <v>354</v>
      </c>
      <c r="C29" s="1">
        <v>44694</v>
      </c>
      <c r="D29" s="1">
        <v>43954</v>
      </c>
      <c r="E29" t="s">
        <v>355</v>
      </c>
      <c r="F29" t="s">
        <v>356</v>
      </c>
      <c r="G29" t="s">
        <v>357</v>
      </c>
      <c r="H29" t="s">
        <v>150</v>
      </c>
      <c r="I29" t="s">
        <v>185</v>
      </c>
      <c r="J29" t="s">
        <v>358</v>
      </c>
      <c r="K29" t="s">
        <v>41</v>
      </c>
      <c r="L29" t="s">
        <v>187</v>
      </c>
      <c r="M29" t="s">
        <v>66</v>
      </c>
      <c r="N29" t="s">
        <v>67</v>
      </c>
      <c r="O29" t="s">
        <v>359</v>
      </c>
      <c r="P29" t="s">
        <v>338</v>
      </c>
      <c r="Q29" t="s">
        <v>360</v>
      </c>
      <c r="R29" t="s">
        <v>70</v>
      </c>
      <c r="S29" t="s">
        <v>188</v>
      </c>
      <c r="T29" t="s">
        <v>178</v>
      </c>
      <c r="U29" t="s">
        <v>51</v>
      </c>
      <c r="V29">
        <v>100</v>
      </c>
      <c r="W29" t="s">
        <v>52</v>
      </c>
      <c r="X29">
        <v>197</v>
      </c>
      <c r="Y29" s="2">
        <v>19680</v>
      </c>
      <c r="Z29" t="s">
        <v>53</v>
      </c>
      <c r="AA29" s="3">
        <v>0.12</v>
      </c>
      <c r="AB29">
        <v>33013091</v>
      </c>
      <c r="AC29">
        <v>2360</v>
      </c>
      <c r="AD29" t="s">
        <v>157</v>
      </c>
      <c r="AE29" t="s">
        <v>55</v>
      </c>
      <c r="AF29" t="s">
        <v>56</v>
      </c>
      <c r="AG29" t="s">
        <v>361</v>
      </c>
    </row>
    <row r="30" spans="1:33" x14ac:dyDescent="0.3">
      <c r="A30" t="s">
        <v>33</v>
      </c>
      <c r="B30" t="s">
        <v>366</v>
      </c>
      <c r="C30" s="1">
        <v>44700</v>
      </c>
      <c r="D30" s="1">
        <v>43954</v>
      </c>
      <c r="E30" t="s">
        <v>367</v>
      </c>
      <c r="F30" t="s">
        <v>368</v>
      </c>
      <c r="G30" t="s">
        <v>369</v>
      </c>
      <c r="H30" t="s">
        <v>138</v>
      </c>
      <c r="I30" t="s">
        <v>163</v>
      </c>
      <c r="J30" t="s">
        <v>139</v>
      </c>
      <c r="K30" t="s">
        <v>41</v>
      </c>
      <c r="L30" t="s">
        <v>117</v>
      </c>
      <c r="M30" t="s">
        <v>235</v>
      </c>
      <c r="N30" t="s">
        <v>236</v>
      </c>
      <c r="O30" t="s">
        <v>370</v>
      </c>
      <c r="P30" t="s">
        <v>338</v>
      </c>
      <c r="Q30" t="s">
        <v>371</v>
      </c>
      <c r="R30" t="s">
        <v>70</v>
      </c>
      <c r="S30" t="s">
        <v>123</v>
      </c>
      <c r="T30" t="s">
        <v>208</v>
      </c>
      <c r="U30" t="s">
        <v>168</v>
      </c>
      <c r="V30">
        <v>140</v>
      </c>
      <c r="W30" t="s">
        <v>52</v>
      </c>
      <c r="X30">
        <v>44</v>
      </c>
      <c r="Y30" s="2">
        <v>6220</v>
      </c>
      <c r="Z30" t="s">
        <v>53</v>
      </c>
      <c r="AA30" s="3">
        <v>0.12</v>
      </c>
      <c r="AB30">
        <v>33012948</v>
      </c>
      <c r="AC30">
        <v>750</v>
      </c>
      <c r="AD30" t="s">
        <v>108</v>
      </c>
      <c r="AE30" t="s">
        <v>145</v>
      </c>
      <c r="AF30" t="s">
        <v>56</v>
      </c>
      <c r="AG30" t="s">
        <v>199</v>
      </c>
    </row>
    <row r="31" spans="1:33" x14ac:dyDescent="0.3">
      <c r="A31" t="s">
        <v>33</v>
      </c>
      <c r="B31" t="s">
        <v>372</v>
      </c>
      <c r="C31" s="1">
        <v>44701</v>
      </c>
      <c r="D31" s="1">
        <v>43954</v>
      </c>
      <c r="E31" t="s">
        <v>373</v>
      </c>
      <c r="F31" t="s">
        <v>374</v>
      </c>
      <c r="G31" t="s">
        <v>375</v>
      </c>
      <c r="H31" t="s">
        <v>174</v>
      </c>
      <c r="I31" t="s">
        <v>63</v>
      </c>
      <c r="J31" t="s">
        <v>89</v>
      </c>
      <c r="K31" t="s">
        <v>41</v>
      </c>
      <c r="L31" t="s">
        <v>187</v>
      </c>
      <c r="M31" t="s">
        <v>244</v>
      </c>
      <c r="N31" t="s">
        <v>376</v>
      </c>
      <c r="O31" t="s">
        <v>377</v>
      </c>
      <c r="P31" t="s">
        <v>338</v>
      </c>
      <c r="Q31" t="s">
        <v>378</v>
      </c>
      <c r="R31" t="s">
        <v>70</v>
      </c>
      <c r="S31" t="s">
        <v>188</v>
      </c>
      <c r="T31" t="s">
        <v>50</v>
      </c>
      <c r="U31" t="s">
        <v>51</v>
      </c>
      <c r="V31">
        <v>140</v>
      </c>
      <c r="W31" t="s">
        <v>52</v>
      </c>
      <c r="X31">
        <v>171</v>
      </c>
      <c r="Y31" s="2">
        <v>23940</v>
      </c>
      <c r="Z31" t="s">
        <v>53</v>
      </c>
      <c r="AA31" s="3">
        <v>0.12</v>
      </c>
      <c r="AB31">
        <v>33051010</v>
      </c>
      <c r="AC31">
        <v>2870</v>
      </c>
      <c r="AD31" t="s">
        <v>179</v>
      </c>
      <c r="AE31" t="s">
        <v>126</v>
      </c>
      <c r="AF31" t="s">
        <v>76</v>
      </c>
      <c r="AG31" t="s">
        <v>127</v>
      </c>
    </row>
    <row r="32" spans="1:33" x14ac:dyDescent="0.3">
      <c r="A32" t="s">
        <v>33</v>
      </c>
      <c r="B32" t="s">
        <v>379</v>
      </c>
      <c r="C32" s="1">
        <v>44704</v>
      </c>
      <c r="D32" s="1">
        <v>43956</v>
      </c>
      <c r="E32" t="s">
        <v>380</v>
      </c>
      <c r="F32" t="s">
        <v>381</v>
      </c>
      <c r="G32" t="s">
        <v>382</v>
      </c>
      <c r="H32" t="s">
        <v>150</v>
      </c>
      <c r="I32" t="s">
        <v>163</v>
      </c>
      <c r="J32" t="s">
        <v>186</v>
      </c>
      <c r="K32" t="s">
        <v>41</v>
      </c>
      <c r="L32" t="s">
        <v>152</v>
      </c>
      <c r="M32" t="s">
        <v>90</v>
      </c>
      <c r="N32" t="s">
        <v>91</v>
      </c>
      <c r="O32" t="s">
        <v>383</v>
      </c>
      <c r="P32" t="s">
        <v>338</v>
      </c>
      <c r="Q32" t="s">
        <v>384</v>
      </c>
      <c r="R32" t="s">
        <v>94</v>
      </c>
      <c r="S32" t="s">
        <v>155</v>
      </c>
      <c r="T32" t="s">
        <v>72</v>
      </c>
      <c r="U32" t="s">
        <v>73</v>
      </c>
      <c r="V32">
        <v>100</v>
      </c>
      <c r="W32" t="s">
        <v>52</v>
      </c>
      <c r="X32">
        <v>41</v>
      </c>
      <c r="Y32" s="2">
        <v>4060</v>
      </c>
      <c r="Z32" t="s">
        <v>53</v>
      </c>
      <c r="AA32" s="3">
        <v>0.12</v>
      </c>
      <c r="AB32">
        <v>33059090</v>
      </c>
      <c r="AC32">
        <v>490</v>
      </c>
      <c r="AD32" t="s">
        <v>189</v>
      </c>
      <c r="AE32" t="s">
        <v>209</v>
      </c>
      <c r="AF32" t="s">
        <v>109</v>
      </c>
      <c r="AG32" t="s">
        <v>218</v>
      </c>
    </row>
    <row r="33" spans="1:33" x14ac:dyDescent="0.3">
      <c r="A33" t="s">
        <v>33</v>
      </c>
      <c r="B33" t="s">
        <v>385</v>
      </c>
      <c r="C33" s="1">
        <v>44716</v>
      </c>
      <c r="D33" s="1">
        <v>43956</v>
      </c>
      <c r="E33" t="s">
        <v>386</v>
      </c>
      <c r="F33" t="s">
        <v>387</v>
      </c>
      <c r="G33" t="s">
        <v>388</v>
      </c>
      <c r="H33" t="s">
        <v>38</v>
      </c>
      <c r="I33" t="s">
        <v>39</v>
      </c>
      <c r="J33" t="s">
        <v>102</v>
      </c>
      <c r="K33" t="s">
        <v>65</v>
      </c>
      <c r="L33" t="s">
        <v>42</v>
      </c>
      <c r="M33" t="s">
        <v>153</v>
      </c>
      <c r="N33" t="s">
        <v>154</v>
      </c>
      <c r="O33" t="s">
        <v>389</v>
      </c>
      <c r="P33" t="s">
        <v>338</v>
      </c>
      <c r="Q33" t="s">
        <v>390</v>
      </c>
      <c r="R33" t="s">
        <v>107</v>
      </c>
      <c r="S33" t="s">
        <v>49</v>
      </c>
      <c r="T33" t="s">
        <v>178</v>
      </c>
      <c r="U33" t="s">
        <v>144</v>
      </c>
      <c r="V33">
        <v>40</v>
      </c>
      <c r="W33" t="s">
        <v>52</v>
      </c>
      <c r="X33">
        <v>231</v>
      </c>
      <c r="Y33" s="2">
        <v>9240</v>
      </c>
      <c r="Z33" t="s">
        <v>53</v>
      </c>
      <c r="AA33" s="3">
        <v>0.12</v>
      </c>
      <c r="AB33">
        <v>33049930</v>
      </c>
      <c r="AC33">
        <v>1110</v>
      </c>
      <c r="AD33" t="s">
        <v>157</v>
      </c>
      <c r="AE33" t="s">
        <v>96</v>
      </c>
      <c r="AF33" t="s">
        <v>56</v>
      </c>
      <c r="AG33" t="s">
        <v>158</v>
      </c>
    </row>
    <row r="34" spans="1:33" x14ac:dyDescent="0.3">
      <c r="A34" t="s">
        <v>33</v>
      </c>
      <c r="B34" t="s">
        <v>391</v>
      </c>
      <c r="C34" s="1">
        <v>44709</v>
      </c>
      <c r="D34" s="1">
        <v>43956</v>
      </c>
      <c r="E34" t="s">
        <v>392</v>
      </c>
      <c r="F34" t="s">
        <v>393</v>
      </c>
      <c r="G34" t="s">
        <v>394</v>
      </c>
      <c r="H34" t="s">
        <v>62</v>
      </c>
      <c r="I34" t="s">
        <v>63</v>
      </c>
      <c r="J34" t="s">
        <v>234</v>
      </c>
      <c r="K34" t="s">
        <v>41</v>
      </c>
      <c r="L34" t="s">
        <v>253</v>
      </c>
      <c r="M34" t="s">
        <v>103</v>
      </c>
      <c r="N34" t="s">
        <v>104</v>
      </c>
      <c r="O34" t="s">
        <v>395</v>
      </c>
      <c r="P34" t="s">
        <v>338</v>
      </c>
      <c r="Q34" t="s">
        <v>396</v>
      </c>
      <c r="R34" t="s">
        <v>107</v>
      </c>
      <c r="S34" t="s">
        <v>71</v>
      </c>
      <c r="T34" t="s">
        <v>124</v>
      </c>
      <c r="U34" t="s">
        <v>51</v>
      </c>
      <c r="V34">
        <v>40</v>
      </c>
      <c r="W34" t="s">
        <v>52</v>
      </c>
      <c r="X34">
        <v>172</v>
      </c>
      <c r="Y34" s="2">
        <v>6890</v>
      </c>
      <c r="Z34" t="s">
        <v>53</v>
      </c>
      <c r="AA34" s="3">
        <v>0.12</v>
      </c>
      <c r="AB34">
        <v>33041000</v>
      </c>
      <c r="AC34">
        <v>830</v>
      </c>
      <c r="AD34" t="s">
        <v>95</v>
      </c>
      <c r="AE34" t="s">
        <v>55</v>
      </c>
      <c r="AF34" t="s">
        <v>76</v>
      </c>
      <c r="AG34" t="s">
        <v>97</v>
      </c>
    </row>
    <row r="35" spans="1:33" x14ac:dyDescent="0.3">
      <c r="A35" t="s">
        <v>33</v>
      </c>
      <c r="B35" t="s">
        <v>397</v>
      </c>
      <c r="C35" s="1">
        <v>44710</v>
      </c>
      <c r="D35" s="1">
        <v>43956</v>
      </c>
      <c r="E35" t="s">
        <v>398</v>
      </c>
      <c r="F35" t="s">
        <v>399</v>
      </c>
      <c r="G35" t="s">
        <v>400</v>
      </c>
      <c r="H35" t="s">
        <v>62</v>
      </c>
      <c r="I35" t="s">
        <v>163</v>
      </c>
      <c r="J35" t="s">
        <v>116</v>
      </c>
      <c r="K35" t="s">
        <v>194</v>
      </c>
      <c r="L35" t="s">
        <v>187</v>
      </c>
      <c r="M35" t="s">
        <v>66</v>
      </c>
      <c r="N35" t="s">
        <v>67</v>
      </c>
      <c r="O35" t="s">
        <v>401</v>
      </c>
      <c r="P35" t="s">
        <v>338</v>
      </c>
      <c r="Q35" t="s">
        <v>402</v>
      </c>
      <c r="R35" t="s">
        <v>48</v>
      </c>
      <c r="S35" t="s">
        <v>188</v>
      </c>
      <c r="T35" t="s">
        <v>50</v>
      </c>
      <c r="U35" t="s">
        <v>73</v>
      </c>
      <c r="V35">
        <v>40</v>
      </c>
      <c r="W35" t="s">
        <v>52</v>
      </c>
      <c r="X35">
        <v>277</v>
      </c>
      <c r="Y35" s="2">
        <v>11060</v>
      </c>
      <c r="Z35" t="s">
        <v>53</v>
      </c>
      <c r="AA35" s="3">
        <v>0.12</v>
      </c>
      <c r="AB35">
        <v>33071010</v>
      </c>
      <c r="AC35">
        <v>1330</v>
      </c>
      <c r="AD35" t="s">
        <v>217</v>
      </c>
      <c r="AE35" t="s">
        <v>75</v>
      </c>
      <c r="AF35" t="s">
        <v>109</v>
      </c>
      <c r="AG35" t="s">
        <v>361</v>
      </c>
    </row>
    <row r="36" spans="1:33" x14ac:dyDescent="0.3">
      <c r="A36" t="s">
        <v>33</v>
      </c>
      <c r="B36" t="s">
        <v>407</v>
      </c>
      <c r="C36" s="1">
        <v>44716</v>
      </c>
      <c r="D36" s="1">
        <v>43961</v>
      </c>
      <c r="E36" t="s">
        <v>408</v>
      </c>
      <c r="F36" t="s">
        <v>409</v>
      </c>
      <c r="G36" t="s">
        <v>410</v>
      </c>
      <c r="H36" t="s">
        <v>174</v>
      </c>
      <c r="I36" t="s">
        <v>175</v>
      </c>
      <c r="J36" t="s">
        <v>151</v>
      </c>
      <c r="K36" t="s">
        <v>41</v>
      </c>
      <c r="L36" t="s">
        <v>187</v>
      </c>
      <c r="M36" t="s">
        <v>267</v>
      </c>
      <c r="N36" t="s">
        <v>411</v>
      </c>
      <c r="O36" t="s">
        <v>412</v>
      </c>
      <c r="P36" t="s">
        <v>338</v>
      </c>
      <c r="Q36" t="s">
        <v>413</v>
      </c>
      <c r="R36" t="s">
        <v>48</v>
      </c>
      <c r="S36" t="s">
        <v>188</v>
      </c>
      <c r="T36" t="s">
        <v>208</v>
      </c>
      <c r="U36" t="s">
        <v>73</v>
      </c>
      <c r="V36">
        <v>80</v>
      </c>
      <c r="W36" t="s">
        <v>52</v>
      </c>
      <c r="X36">
        <v>220</v>
      </c>
      <c r="Y36" s="2">
        <v>17580</v>
      </c>
      <c r="Z36" t="s">
        <v>53</v>
      </c>
      <c r="AA36" s="3">
        <v>0.12</v>
      </c>
      <c r="AB36">
        <v>33041000</v>
      </c>
      <c r="AC36">
        <v>2110</v>
      </c>
      <c r="AD36" t="s">
        <v>125</v>
      </c>
      <c r="AE36" t="s">
        <v>145</v>
      </c>
      <c r="AF36" t="s">
        <v>76</v>
      </c>
      <c r="AG36" t="s">
        <v>57</v>
      </c>
    </row>
    <row r="37" spans="1:33" x14ac:dyDescent="0.3">
      <c r="A37" t="s">
        <v>33</v>
      </c>
      <c r="B37" t="s">
        <v>416</v>
      </c>
      <c r="C37" s="1">
        <v>44718</v>
      </c>
      <c r="D37" s="1">
        <v>43961</v>
      </c>
      <c r="E37" t="s">
        <v>417</v>
      </c>
      <c r="F37" t="s">
        <v>418</v>
      </c>
      <c r="G37" t="s">
        <v>419</v>
      </c>
      <c r="H37" t="s">
        <v>38</v>
      </c>
      <c r="I37" t="s">
        <v>39</v>
      </c>
      <c r="J37" t="s">
        <v>186</v>
      </c>
      <c r="K37" t="s">
        <v>41</v>
      </c>
      <c r="L37" t="s">
        <v>42</v>
      </c>
      <c r="M37" t="s">
        <v>153</v>
      </c>
      <c r="N37" t="s">
        <v>420</v>
      </c>
      <c r="O37" t="s">
        <v>403</v>
      </c>
      <c r="P37" t="s">
        <v>338</v>
      </c>
      <c r="Q37" t="s">
        <v>404</v>
      </c>
      <c r="R37" t="s">
        <v>70</v>
      </c>
      <c r="S37" t="s">
        <v>49</v>
      </c>
      <c r="T37" t="s">
        <v>124</v>
      </c>
      <c r="U37" t="s">
        <v>51</v>
      </c>
      <c r="V37">
        <v>50</v>
      </c>
      <c r="W37" t="s">
        <v>52</v>
      </c>
      <c r="X37" s="2">
        <v>1000</v>
      </c>
      <c r="Y37" s="2">
        <v>50000</v>
      </c>
      <c r="Z37" t="s">
        <v>53</v>
      </c>
      <c r="AA37" s="3">
        <v>0.12</v>
      </c>
      <c r="AB37">
        <v>33012948</v>
      </c>
      <c r="AC37">
        <v>6000</v>
      </c>
      <c r="AD37" t="s">
        <v>95</v>
      </c>
      <c r="AE37" t="s">
        <v>55</v>
      </c>
      <c r="AF37" t="s">
        <v>56</v>
      </c>
      <c r="AG37" t="s">
        <v>218</v>
      </c>
    </row>
    <row r="38" spans="1:33" x14ac:dyDescent="0.3">
      <c r="A38" t="s">
        <v>33</v>
      </c>
      <c r="B38" t="s">
        <v>421</v>
      </c>
      <c r="C38" s="1">
        <v>44714</v>
      </c>
      <c r="D38" s="1">
        <v>43963</v>
      </c>
      <c r="E38" t="s">
        <v>422</v>
      </c>
      <c r="F38" t="s">
        <v>100</v>
      </c>
      <c r="G38" t="s">
        <v>101</v>
      </c>
      <c r="H38" t="s">
        <v>62</v>
      </c>
      <c r="I38" t="s">
        <v>63</v>
      </c>
      <c r="J38" t="s">
        <v>102</v>
      </c>
      <c r="K38" t="s">
        <v>41</v>
      </c>
      <c r="L38" t="s">
        <v>42</v>
      </c>
      <c r="M38" t="s">
        <v>103</v>
      </c>
      <c r="N38" t="s">
        <v>104</v>
      </c>
      <c r="O38" t="s">
        <v>405</v>
      </c>
      <c r="P38" t="s">
        <v>338</v>
      </c>
      <c r="Q38" t="s">
        <v>406</v>
      </c>
      <c r="R38" t="s">
        <v>48</v>
      </c>
      <c r="S38" t="s">
        <v>49</v>
      </c>
      <c r="T38" t="s">
        <v>197</v>
      </c>
      <c r="U38" t="s">
        <v>73</v>
      </c>
      <c r="V38">
        <v>50</v>
      </c>
      <c r="W38" t="s">
        <v>52</v>
      </c>
      <c r="X38">
        <v>20</v>
      </c>
      <c r="Y38" s="2">
        <v>1000</v>
      </c>
      <c r="Z38" t="s">
        <v>53</v>
      </c>
      <c r="AA38" s="3">
        <v>0.12</v>
      </c>
      <c r="AB38">
        <v>33013091</v>
      </c>
      <c r="AC38">
        <v>120</v>
      </c>
      <c r="AD38" t="s">
        <v>217</v>
      </c>
      <c r="AE38" t="s">
        <v>75</v>
      </c>
      <c r="AF38" t="s">
        <v>56</v>
      </c>
      <c r="AG38" t="s">
        <v>158</v>
      </c>
    </row>
    <row r="39" spans="1:33" x14ac:dyDescent="0.3">
      <c r="A39" t="s">
        <v>33</v>
      </c>
      <c r="B39" t="s">
        <v>423</v>
      </c>
      <c r="C39" s="1">
        <v>44718</v>
      </c>
      <c r="D39" s="1">
        <v>43963</v>
      </c>
      <c r="E39" t="s">
        <v>424</v>
      </c>
      <c r="F39" t="s">
        <v>425</v>
      </c>
      <c r="G39" t="s">
        <v>426</v>
      </c>
      <c r="H39" t="s">
        <v>38</v>
      </c>
      <c r="I39" t="s">
        <v>39</v>
      </c>
      <c r="J39" t="s">
        <v>234</v>
      </c>
      <c r="K39" t="s">
        <v>65</v>
      </c>
      <c r="L39" t="s">
        <v>42</v>
      </c>
      <c r="M39" t="s">
        <v>164</v>
      </c>
      <c r="N39" t="s">
        <v>309</v>
      </c>
      <c r="O39" t="s">
        <v>427</v>
      </c>
      <c r="P39" t="s">
        <v>338</v>
      </c>
      <c r="Q39" t="s">
        <v>428</v>
      </c>
      <c r="R39" t="s">
        <v>70</v>
      </c>
      <c r="S39" t="s">
        <v>49</v>
      </c>
      <c r="T39" t="s">
        <v>50</v>
      </c>
      <c r="U39" t="s">
        <v>144</v>
      </c>
      <c r="V39">
        <v>100</v>
      </c>
      <c r="W39" t="s">
        <v>52</v>
      </c>
      <c r="X39" s="2">
        <v>5720</v>
      </c>
      <c r="Y39" s="2">
        <v>572000</v>
      </c>
      <c r="Z39" t="s">
        <v>53</v>
      </c>
      <c r="AA39" s="3">
        <v>0.12</v>
      </c>
      <c r="AB39">
        <v>33012948</v>
      </c>
      <c r="AC39">
        <v>68640</v>
      </c>
      <c r="AD39" t="s">
        <v>108</v>
      </c>
      <c r="AE39" t="s">
        <v>180</v>
      </c>
      <c r="AF39" t="s">
        <v>109</v>
      </c>
      <c r="AG39" t="s">
        <v>97</v>
      </c>
    </row>
    <row r="40" spans="1:33" x14ac:dyDescent="0.3">
      <c r="A40" t="s">
        <v>33</v>
      </c>
      <c r="B40" t="s">
        <v>429</v>
      </c>
      <c r="C40" s="1">
        <v>44718</v>
      </c>
      <c r="D40" s="1">
        <v>43963</v>
      </c>
      <c r="E40" t="s">
        <v>430</v>
      </c>
      <c r="F40" t="s">
        <v>431</v>
      </c>
      <c r="G40" t="s">
        <v>432</v>
      </c>
      <c r="H40" t="s">
        <v>62</v>
      </c>
      <c r="I40" t="s">
        <v>63</v>
      </c>
      <c r="J40" t="s">
        <v>243</v>
      </c>
      <c r="K40" t="s">
        <v>41</v>
      </c>
      <c r="L40" t="s">
        <v>253</v>
      </c>
      <c r="M40" t="s">
        <v>176</v>
      </c>
      <c r="N40" t="s">
        <v>177</v>
      </c>
      <c r="O40" t="s">
        <v>433</v>
      </c>
      <c r="P40" t="s">
        <v>338</v>
      </c>
      <c r="Q40" t="s">
        <v>434</v>
      </c>
      <c r="R40" t="s">
        <v>70</v>
      </c>
      <c r="S40" t="s">
        <v>71</v>
      </c>
      <c r="T40" t="s">
        <v>72</v>
      </c>
      <c r="U40" t="s">
        <v>168</v>
      </c>
      <c r="V40">
        <v>100</v>
      </c>
      <c r="W40" t="s">
        <v>52</v>
      </c>
      <c r="X40">
        <v>700</v>
      </c>
      <c r="Y40" s="2">
        <v>70000</v>
      </c>
      <c r="Z40" t="s">
        <v>53</v>
      </c>
      <c r="AA40" s="3">
        <v>0.12</v>
      </c>
      <c r="AB40">
        <v>33051010</v>
      </c>
      <c r="AC40">
        <v>8400</v>
      </c>
      <c r="AD40" t="s">
        <v>54</v>
      </c>
      <c r="AE40" t="s">
        <v>145</v>
      </c>
      <c r="AF40" t="s">
        <v>109</v>
      </c>
      <c r="AG40" t="s">
        <v>361</v>
      </c>
    </row>
    <row r="41" spans="1:33" x14ac:dyDescent="0.3">
      <c r="A41" t="s">
        <v>33</v>
      </c>
      <c r="B41" t="s">
        <v>435</v>
      </c>
      <c r="C41" s="1">
        <v>44718</v>
      </c>
      <c r="D41" s="1">
        <v>43963</v>
      </c>
      <c r="E41" t="s">
        <v>436</v>
      </c>
      <c r="F41" t="s">
        <v>114</v>
      </c>
      <c r="G41" t="s">
        <v>115</v>
      </c>
      <c r="H41" t="s">
        <v>38</v>
      </c>
      <c r="I41" t="s">
        <v>39</v>
      </c>
      <c r="J41" t="s">
        <v>116</v>
      </c>
      <c r="K41" t="s">
        <v>65</v>
      </c>
      <c r="L41" t="s">
        <v>117</v>
      </c>
      <c r="M41" t="s">
        <v>118</v>
      </c>
      <c r="N41" t="s">
        <v>119</v>
      </c>
      <c r="O41" t="s">
        <v>370</v>
      </c>
      <c r="P41" t="s">
        <v>338</v>
      </c>
      <c r="Q41" t="s">
        <v>371</v>
      </c>
      <c r="R41" t="s">
        <v>70</v>
      </c>
      <c r="S41" t="s">
        <v>123</v>
      </c>
      <c r="T41" t="s">
        <v>178</v>
      </c>
      <c r="U41" t="s">
        <v>51</v>
      </c>
      <c r="V41">
        <v>100</v>
      </c>
      <c r="W41" t="s">
        <v>52</v>
      </c>
      <c r="X41">
        <v>200</v>
      </c>
      <c r="Y41" s="2">
        <v>20000</v>
      </c>
      <c r="Z41" t="s">
        <v>53</v>
      </c>
      <c r="AA41" s="3">
        <v>0.12</v>
      </c>
      <c r="AB41">
        <v>33059090</v>
      </c>
      <c r="AC41">
        <v>2400</v>
      </c>
      <c r="AD41" t="s">
        <v>74</v>
      </c>
      <c r="AE41" t="s">
        <v>126</v>
      </c>
      <c r="AF41" t="s">
        <v>109</v>
      </c>
      <c r="AG41" t="s">
        <v>57</v>
      </c>
    </row>
    <row r="42" spans="1:33" x14ac:dyDescent="0.3">
      <c r="A42" t="s">
        <v>33</v>
      </c>
      <c r="B42" t="s">
        <v>437</v>
      </c>
      <c r="C42" s="1">
        <v>44726</v>
      </c>
      <c r="D42" s="1">
        <v>43971</v>
      </c>
      <c r="E42" t="s">
        <v>438</v>
      </c>
      <c r="F42" t="s">
        <v>439</v>
      </c>
      <c r="G42" t="s">
        <v>440</v>
      </c>
      <c r="H42" t="s">
        <v>62</v>
      </c>
      <c r="I42" t="s">
        <v>63</v>
      </c>
      <c r="J42" t="s">
        <v>441</v>
      </c>
      <c r="K42" t="s">
        <v>194</v>
      </c>
      <c r="L42" t="s">
        <v>42</v>
      </c>
      <c r="M42" t="s">
        <v>195</v>
      </c>
      <c r="N42" t="s">
        <v>347</v>
      </c>
      <c r="O42" t="s">
        <v>377</v>
      </c>
      <c r="P42" t="s">
        <v>338</v>
      </c>
      <c r="Q42" t="s">
        <v>378</v>
      </c>
      <c r="R42" t="s">
        <v>70</v>
      </c>
      <c r="S42" t="s">
        <v>49</v>
      </c>
      <c r="T42" t="s">
        <v>124</v>
      </c>
      <c r="U42" t="s">
        <v>73</v>
      </c>
      <c r="V42">
        <v>100</v>
      </c>
      <c r="W42" t="s">
        <v>52</v>
      </c>
      <c r="X42" s="2">
        <v>5285</v>
      </c>
      <c r="Y42" s="2">
        <v>528510</v>
      </c>
      <c r="Z42" t="s">
        <v>53</v>
      </c>
      <c r="AA42" s="3">
        <v>0.12</v>
      </c>
      <c r="AB42">
        <v>33049930</v>
      </c>
      <c r="AC42">
        <v>63420</v>
      </c>
      <c r="AD42" t="s">
        <v>125</v>
      </c>
      <c r="AE42" t="s">
        <v>209</v>
      </c>
      <c r="AF42" t="s">
        <v>109</v>
      </c>
      <c r="AG42" t="s">
        <v>77</v>
      </c>
    </row>
    <row r="43" spans="1:33" x14ac:dyDescent="0.3">
      <c r="A43" t="s">
        <v>33</v>
      </c>
      <c r="B43" t="s">
        <v>446</v>
      </c>
      <c r="C43" s="1">
        <v>44739</v>
      </c>
      <c r="D43" s="1">
        <v>43973</v>
      </c>
      <c r="E43" t="s">
        <v>447</v>
      </c>
      <c r="F43" t="s">
        <v>448</v>
      </c>
      <c r="G43" t="s">
        <v>449</v>
      </c>
      <c r="H43" t="s">
        <v>38</v>
      </c>
      <c r="I43" t="s">
        <v>63</v>
      </c>
      <c r="J43" t="s">
        <v>89</v>
      </c>
      <c r="K43" t="s">
        <v>41</v>
      </c>
      <c r="L43" t="s">
        <v>42</v>
      </c>
      <c r="M43" t="s">
        <v>267</v>
      </c>
      <c r="N43" t="s">
        <v>450</v>
      </c>
      <c r="O43" t="s">
        <v>414</v>
      </c>
      <c r="P43" t="s">
        <v>46</v>
      </c>
      <c r="Q43" t="s">
        <v>415</v>
      </c>
      <c r="R43" t="s">
        <v>122</v>
      </c>
      <c r="S43" t="s">
        <v>49</v>
      </c>
      <c r="T43" t="s">
        <v>50</v>
      </c>
      <c r="U43" t="s">
        <v>168</v>
      </c>
      <c r="V43">
        <v>100000</v>
      </c>
      <c r="W43" t="s">
        <v>52</v>
      </c>
      <c r="X43">
        <v>150</v>
      </c>
      <c r="Y43" s="2">
        <v>15000000</v>
      </c>
      <c r="Z43" t="s">
        <v>53</v>
      </c>
      <c r="AA43" s="3">
        <v>0.12</v>
      </c>
      <c r="AB43">
        <v>33071010</v>
      </c>
      <c r="AC43">
        <v>1800000</v>
      </c>
      <c r="AD43" t="s">
        <v>54</v>
      </c>
      <c r="AE43" t="s">
        <v>96</v>
      </c>
      <c r="AF43" t="s">
        <v>76</v>
      </c>
      <c r="AG43" t="s">
        <v>199</v>
      </c>
    </row>
    <row r="44" spans="1:33" x14ac:dyDescent="0.3">
      <c r="A44" t="s">
        <v>33</v>
      </c>
      <c r="B44" t="s">
        <v>455</v>
      </c>
      <c r="C44" s="1">
        <v>44749</v>
      </c>
      <c r="D44" s="1">
        <v>43981</v>
      </c>
      <c r="E44" t="s">
        <v>456</v>
      </c>
      <c r="F44" t="s">
        <v>457</v>
      </c>
      <c r="G44" t="s">
        <v>458</v>
      </c>
      <c r="H44" t="s">
        <v>138</v>
      </c>
      <c r="I44" t="s">
        <v>185</v>
      </c>
      <c r="J44" t="s">
        <v>151</v>
      </c>
      <c r="K44" t="s">
        <v>41</v>
      </c>
      <c r="L44" t="s">
        <v>152</v>
      </c>
      <c r="M44" t="s">
        <v>43</v>
      </c>
      <c r="N44" t="s">
        <v>459</v>
      </c>
      <c r="O44" t="s">
        <v>460</v>
      </c>
      <c r="P44" t="s">
        <v>46</v>
      </c>
      <c r="Q44" t="s">
        <v>461</v>
      </c>
      <c r="R44" t="s">
        <v>70</v>
      </c>
      <c r="S44" t="s">
        <v>155</v>
      </c>
      <c r="T44" t="s">
        <v>197</v>
      </c>
      <c r="U44" t="s">
        <v>73</v>
      </c>
      <c r="V44">
        <v>20</v>
      </c>
      <c r="W44" t="s">
        <v>52</v>
      </c>
      <c r="X44">
        <v>77</v>
      </c>
      <c r="Y44" s="2">
        <v>1540</v>
      </c>
      <c r="Z44" t="s">
        <v>53</v>
      </c>
      <c r="AA44" s="3">
        <v>0.18</v>
      </c>
      <c r="AB44">
        <v>33051010</v>
      </c>
      <c r="AC44">
        <v>280</v>
      </c>
      <c r="AD44" t="s">
        <v>125</v>
      </c>
      <c r="AE44" t="s">
        <v>75</v>
      </c>
      <c r="AF44" t="s">
        <v>76</v>
      </c>
      <c r="AG44" t="s">
        <v>361</v>
      </c>
    </row>
    <row r="45" spans="1:33" x14ac:dyDescent="0.3">
      <c r="A45" t="s">
        <v>33</v>
      </c>
      <c r="B45" t="s">
        <v>466</v>
      </c>
      <c r="C45" s="1">
        <v>44756</v>
      </c>
      <c r="D45" s="1">
        <v>43985</v>
      </c>
      <c r="E45" t="s">
        <v>467</v>
      </c>
      <c r="F45" t="s">
        <v>301</v>
      </c>
      <c r="G45" t="s">
        <v>302</v>
      </c>
      <c r="H45" t="s">
        <v>38</v>
      </c>
      <c r="I45" t="s">
        <v>185</v>
      </c>
      <c r="J45" t="s">
        <v>40</v>
      </c>
      <c r="K45" t="s">
        <v>194</v>
      </c>
      <c r="L45" t="s">
        <v>253</v>
      </c>
      <c r="M45" t="s">
        <v>235</v>
      </c>
      <c r="N45" t="s">
        <v>236</v>
      </c>
      <c r="O45" t="s">
        <v>246</v>
      </c>
      <c r="P45" t="s">
        <v>247</v>
      </c>
      <c r="Q45" t="s">
        <v>248</v>
      </c>
      <c r="R45" t="s">
        <v>122</v>
      </c>
      <c r="S45" t="s">
        <v>71</v>
      </c>
      <c r="T45" t="s">
        <v>208</v>
      </c>
      <c r="U45" t="s">
        <v>51</v>
      </c>
      <c r="V45">
        <v>40</v>
      </c>
      <c r="W45" t="s">
        <v>52</v>
      </c>
      <c r="X45">
        <v>39</v>
      </c>
      <c r="Y45" s="2">
        <v>1560</v>
      </c>
      <c r="Z45" t="s">
        <v>53</v>
      </c>
      <c r="AA45" s="3">
        <v>0.18</v>
      </c>
      <c r="AB45">
        <v>33049930</v>
      </c>
      <c r="AC45">
        <v>280</v>
      </c>
      <c r="AD45" t="s">
        <v>468</v>
      </c>
      <c r="AE45" t="s">
        <v>96</v>
      </c>
      <c r="AF45" t="s">
        <v>56</v>
      </c>
      <c r="AG45" t="s">
        <v>199</v>
      </c>
    </row>
    <row r="46" spans="1:33" x14ac:dyDescent="0.3">
      <c r="A46" t="s">
        <v>33</v>
      </c>
      <c r="B46" t="s">
        <v>470</v>
      </c>
      <c r="C46" s="1">
        <v>44776</v>
      </c>
      <c r="D46" s="1">
        <v>43985</v>
      </c>
      <c r="E46" t="s">
        <v>471</v>
      </c>
      <c r="F46" t="s">
        <v>472</v>
      </c>
      <c r="G46" t="s">
        <v>473</v>
      </c>
      <c r="H46" t="s">
        <v>150</v>
      </c>
      <c r="I46" t="s">
        <v>63</v>
      </c>
      <c r="J46" t="s">
        <v>474</v>
      </c>
      <c r="K46" t="s">
        <v>41</v>
      </c>
      <c r="L46" t="s">
        <v>117</v>
      </c>
      <c r="M46" t="s">
        <v>103</v>
      </c>
      <c r="N46" t="s">
        <v>475</v>
      </c>
      <c r="O46" t="s">
        <v>476</v>
      </c>
      <c r="P46" t="s">
        <v>247</v>
      </c>
      <c r="Q46" t="s">
        <v>477</v>
      </c>
      <c r="R46" t="s">
        <v>70</v>
      </c>
      <c r="S46" t="s">
        <v>123</v>
      </c>
      <c r="T46" t="s">
        <v>124</v>
      </c>
      <c r="U46" t="s">
        <v>51</v>
      </c>
      <c r="V46">
        <v>40</v>
      </c>
      <c r="W46" t="s">
        <v>52</v>
      </c>
      <c r="X46" s="2">
        <v>3525</v>
      </c>
      <c r="Y46" s="2">
        <v>141000</v>
      </c>
      <c r="Z46" t="s">
        <v>53</v>
      </c>
      <c r="AA46" s="3">
        <v>0.18</v>
      </c>
      <c r="AB46">
        <v>33013091</v>
      </c>
      <c r="AC46">
        <v>25380</v>
      </c>
      <c r="AD46" t="s">
        <v>108</v>
      </c>
      <c r="AE46" t="s">
        <v>145</v>
      </c>
      <c r="AF46" t="s">
        <v>76</v>
      </c>
      <c r="AG46" t="s">
        <v>199</v>
      </c>
    </row>
    <row r="47" spans="1:33" x14ac:dyDescent="0.3">
      <c r="A47" t="s">
        <v>33</v>
      </c>
      <c r="B47" t="s">
        <v>478</v>
      </c>
      <c r="C47" s="1">
        <v>44872</v>
      </c>
      <c r="D47" s="1">
        <v>43992</v>
      </c>
      <c r="E47" t="s">
        <v>479</v>
      </c>
      <c r="F47" t="s">
        <v>480</v>
      </c>
      <c r="G47" t="s">
        <v>481</v>
      </c>
      <c r="H47" t="s">
        <v>150</v>
      </c>
      <c r="I47" t="s">
        <v>63</v>
      </c>
      <c r="J47" t="s">
        <v>474</v>
      </c>
      <c r="K47" t="s">
        <v>41</v>
      </c>
      <c r="L47" t="s">
        <v>187</v>
      </c>
      <c r="M47" t="s">
        <v>267</v>
      </c>
      <c r="N47" t="s">
        <v>411</v>
      </c>
      <c r="O47" t="s">
        <v>482</v>
      </c>
      <c r="P47" t="s">
        <v>247</v>
      </c>
      <c r="Q47" t="s">
        <v>483</v>
      </c>
      <c r="R47" t="s">
        <v>122</v>
      </c>
      <c r="S47" t="s">
        <v>188</v>
      </c>
      <c r="T47" t="s">
        <v>124</v>
      </c>
      <c r="U47" t="s">
        <v>51</v>
      </c>
      <c r="V47">
        <v>50</v>
      </c>
      <c r="W47" t="s">
        <v>52</v>
      </c>
      <c r="X47">
        <v>99</v>
      </c>
      <c r="Y47" s="2">
        <v>4950</v>
      </c>
      <c r="Z47" t="s">
        <v>53</v>
      </c>
      <c r="AA47" s="3">
        <v>0.18</v>
      </c>
      <c r="AB47">
        <v>33051010</v>
      </c>
      <c r="AC47">
        <v>890</v>
      </c>
      <c r="AD47" t="s">
        <v>217</v>
      </c>
      <c r="AE47" t="s">
        <v>145</v>
      </c>
      <c r="AF47" t="s">
        <v>56</v>
      </c>
      <c r="AG47" t="s">
        <v>218</v>
      </c>
    </row>
    <row r="48" spans="1:33" x14ac:dyDescent="0.3">
      <c r="A48" t="s">
        <v>33</v>
      </c>
      <c r="B48" t="s">
        <v>484</v>
      </c>
      <c r="C48" s="1">
        <v>44786</v>
      </c>
      <c r="D48" s="1">
        <v>43992</v>
      </c>
      <c r="E48" t="s">
        <v>485</v>
      </c>
      <c r="F48" t="s">
        <v>486</v>
      </c>
      <c r="G48" t="s">
        <v>487</v>
      </c>
      <c r="H48" t="s">
        <v>38</v>
      </c>
      <c r="I48" t="s">
        <v>63</v>
      </c>
      <c r="J48" t="s">
        <v>139</v>
      </c>
      <c r="K48" t="s">
        <v>65</v>
      </c>
      <c r="L48" t="s">
        <v>152</v>
      </c>
      <c r="M48" t="s">
        <v>235</v>
      </c>
      <c r="N48" t="s">
        <v>236</v>
      </c>
      <c r="O48" t="s">
        <v>318</v>
      </c>
      <c r="P48" t="s">
        <v>247</v>
      </c>
      <c r="Q48" t="s">
        <v>319</v>
      </c>
      <c r="R48" t="s">
        <v>48</v>
      </c>
      <c r="S48" t="s">
        <v>155</v>
      </c>
      <c r="T48" t="s">
        <v>197</v>
      </c>
      <c r="U48" t="s">
        <v>51</v>
      </c>
      <c r="V48">
        <v>40</v>
      </c>
      <c r="W48" t="s">
        <v>52</v>
      </c>
      <c r="X48">
        <v>28</v>
      </c>
      <c r="Y48" s="2">
        <v>1120</v>
      </c>
      <c r="Z48" t="s">
        <v>53</v>
      </c>
      <c r="AA48" s="3">
        <v>0.18</v>
      </c>
      <c r="AB48">
        <v>33059090</v>
      </c>
      <c r="AC48">
        <v>200</v>
      </c>
      <c r="AD48" t="s">
        <v>108</v>
      </c>
      <c r="AE48" t="s">
        <v>126</v>
      </c>
      <c r="AF48" t="s">
        <v>109</v>
      </c>
      <c r="AG48" t="s">
        <v>158</v>
      </c>
    </row>
    <row r="49" spans="1:33" x14ac:dyDescent="0.3">
      <c r="A49" t="s">
        <v>33</v>
      </c>
      <c r="B49" t="s">
        <v>488</v>
      </c>
      <c r="C49" s="1">
        <v>44787</v>
      </c>
      <c r="D49" s="1">
        <v>43992</v>
      </c>
      <c r="E49" t="s">
        <v>489</v>
      </c>
      <c r="F49" t="s">
        <v>490</v>
      </c>
      <c r="G49" t="s">
        <v>491</v>
      </c>
      <c r="H49" t="s">
        <v>138</v>
      </c>
      <c r="I49" t="s">
        <v>63</v>
      </c>
      <c r="J49" t="s">
        <v>186</v>
      </c>
      <c r="K49" t="s">
        <v>41</v>
      </c>
      <c r="L49" t="s">
        <v>253</v>
      </c>
      <c r="M49" t="s">
        <v>90</v>
      </c>
      <c r="N49" t="s">
        <v>214</v>
      </c>
      <c r="O49" t="s">
        <v>321</v>
      </c>
      <c r="P49" t="s">
        <v>247</v>
      </c>
      <c r="Q49" t="s">
        <v>322</v>
      </c>
      <c r="R49" t="s">
        <v>48</v>
      </c>
      <c r="S49" t="s">
        <v>71</v>
      </c>
      <c r="T49" t="s">
        <v>208</v>
      </c>
      <c r="U49" t="s">
        <v>73</v>
      </c>
      <c r="V49">
        <v>40</v>
      </c>
      <c r="W49" t="s">
        <v>52</v>
      </c>
      <c r="X49">
        <v>57</v>
      </c>
      <c r="Y49" s="2">
        <v>2280</v>
      </c>
      <c r="Z49" t="s">
        <v>53</v>
      </c>
      <c r="AA49" s="3">
        <v>0.18</v>
      </c>
      <c r="AB49">
        <v>33049930</v>
      </c>
      <c r="AC49">
        <v>410</v>
      </c>
      <c r="AD49" t="s">
        <v>179</v>
      </c>
      <c r="AE49" t="s">
        <v>209</v>
      </c>
      <c r="AF49" t="s">
        <v>109</v>
      </c>
      <c r="AG49" t="s">
        <v>97</v>
      </c>
    </row>
    <row r="50" spans="1:33" x14ac:dyDescent="0.3">
      <c r="A50" t="s">
        <v>33</v>
      </c>
      <c r="B50" t="s">
        <v>496</v>
      </c>
      <c r="C50" s="1">
        <v>44788</v>
      </c>
      <c r="D50" s="1">
        <v>43993</v>
      </c>
      <c r="E50" t="s">
        <v>497</v>
      </c>
      <c r="F50" t="s">
        <v>498</v>
      </c>
      <c r="G50" t="s">
        <v>499</v>
      </c>
      <c r="H50" t="s">
        <v>38</v>
      </c>
      <c r="I50" t="s">
        <v>63</v>
      </c>
      <c r="J50" t="s">
        <v>441</v>
      </c>
      <c r="K50" t="s">
        <v>194</v>
      </c>
      <c r="L50" t="s">
        <v>117</v>
      </c>
      <c r="M50" t="s">
        <v>118</v>
      </c>
      <c r="N50" t="s">
        <v>500</v>
      </c>
      <c r="O50" t="s">
        <v>501</v>
      </c>
      <c r="P50" t="s">
        <v>276</v>
      </c>
      <c r="Q50" t="s">
        <v>502</v>
      </c>
      <c r="R50" t="s">
        <v>94</v>
      </c>
      <c r="S50" t="s">
        <v>123</v>
      </c>
      <c r="T50" t="s">
        <v>124</v>
      </c>
      <c r="U50" t="s">
        <v>168</v>
      </c>
      <c r="V50">
        <v>40</v>
      </c>
      <c r="W50" t="s">
        <v>156</v>
      </c>
      <c r="X50">
        <v>552</v>
      </c>
      <c r="Y50" s="2">
        <v>22080</v>
      </c>
      <c r="Z50" t="s">
        <v>53</v>
      </c>
      <c r="AA50" s="3">
        <v>0.18</v>
      </c>
      <c r="AB50">
        <v>33051010</v>
      </c>
      <c r="AC50">
        <v>3970</v>
      </c>
      <c r="AD50" t="s">
        <v>179</v>
      </c>
      <c r="AE50" t="s">
        <v>209</v>
      </c>
      <c r="AF50" t="s">
        <v>76</v>
      </c>
      <c r="AG50" t="s">
        <v>127</v>
      </c>
    </row>
    <row r="51" spans="1:33" x14ac:dyDescent="0.3">
      <c r="A51" t="s">
        <v>33</v>
      </c>
      <c r="B51" t="s">
        <v>503</v>
      </c>
      <c r="C51" s="1">
        <v>44789</v>
      </c>
      <c r="D51" s="1">
        <v>43993</v>
      </c>
      <c r="E51" t="s">
        <v>504</v>
      </c>
      <c r="F51" t="s">
        <v>505</v>
      </c>
      <c r="G51" t="s">
        <v>506</v>
      </c>
      <c r="H51" t="s">
        <v>138</v>
      </c>
      <c r="I51" t="s">
        <v>175</v>
      </c>
      <c r="J51" t="s">
        <v>40</v>
      </c>
      <c r="K51" t="s">
        <v>65</v>
      </c>
      <c r="L51" t="s">
        <v>253</v>
      </c>
      <c r="M51" t="s">
        <v>204</v>
      </c>
      <c r="N51" t="s">
        <v>205</v>
      </c>
      <c r="O51" t="s">
        <v>460</v>
      </c>
      <c r="P51" t="s">
        <v>46</v>
      </c>
      <c r="Q51" t="s">
        <v>461</v>
      </c>
      <c r="R51" t="s">
        <v>107</v>
      </c>
      <c r="S51" t="s">
        <v>71</v>
      </c>
      <c r="T51" t="s">
        <v>50</v>
      </c>
      <c r="U51" t="s">
        <v>73</v>
      </c>
      <c r="V51">
        <v>40</v>
      </c>
      <c r="W51" t="s">
        <v>156</v>
      </c>
      <c r="X51">
        <v>336</v>
      </c>
      <c r="Y51" s="2">
        <v>13440</v>
      </c>
      <c r="Z51" t="s">
        <v>53</v>
      </c>
      <c r="AA51" s="3">
        <v>0.18</v>
      </c>
      <c r="AB51">
        <v>33049930</v>
      </c>
      <c r="AC51">
        <v>2420</v>
      </c>
      <c r="AD51" t="s">
        <v>157</v>
      </c>
      <c r="AE51" t="s">
        <v>55</v>
      </c>
      <c r="AF51" t="s">
        <v>56</v>
      </c>
      <c r="AG51" t="s">
        <v>158</v>
      </c>
    </row>
    <row r="52" spans="1:33" x14ac:dyDescent="0.3">
      <c r="A52" t="s">
        <v>33</v>
      </c>
      <c r="B52" t="s">
        <v>507</v>
      </c>
      <c r="C52" s="1">
        <v>44793</v>
      </c>
      <c r="D52" s="1">
        <v>43997</v>
      </c>
      <c r="E52" t="s">
        <v>508</v>
      </c>
      <c r="F52" t="s">
        <v>509</v>
      </c>
      <c r="G52" t="s">
        <v>510</v>
      </c>
      <c r="H52" t="s">
        <v>62</v>
      </c>
      <c r="I52" t="s">
        <v>163</v>
      </c>
      <c r="J52" t="s">
        <v>474</v>
      </c>
      <c r="K52" t="s">
        <v>65</v>
      </c>
      <c r="L52" t="s">
        <v>253</v>
      </c>
      <c r="M52" t="s">
        <v>267</v>
      </c>
      <c r="N52" t="s">
        <v>411</v>
      </c>
      <c r="O52" t="s">
        <v>511</v>
      </c>
      <c r="P52" t="s">
        <v>46</v>
      </c>
      <c r="Q52" t="s">
        <v>512</v>
      </c>
      <c r="R52" t="s">
        <v>122</v>
      </c>
      <c r="S52" t="s">
        <v>71</v>
      </c>
      <c r="T52" t="s">
        <v>197</v>
      </c>
      <c r="U52" t="s">
        <v>144</v>
      </c>
      <c r="V52">
        <v>20</v>
      </c>
      <c r="W52" t="s">
        <v>156</v>
      </c>
      <c r="X52">
        <v>558</v>
      </c>
      <c r="Y52" s="2">
        <v>11160</v>
      </c>
      <c r="Z52" t="s">
        <v>53</v>
      </c>
      <c r="AA52" s="3">
        <v>0.18</v>
      </c>
      <c r="AB52">
        <v>33051010</v>
      </c>
      <c r="AC52">
        <v>2010</v>
      </c>
      <c r="AD52" t="s">
        <v>74</v>
      </c>
      <c r="AE52" t="s">
        <v>126</v>
      </c>
      <c r="AF52" t="s">
        <v>56</v>
      </c>
      <c r="AG52" t="s">
        <v>77</v>
      </c>
    </row>
    <row r="53" spans="1:33" x14ac:dyDescent="0.3">
      <c r="A53" t="s">
        <v>33</v>
      </c>
      <c r="B53" t="s">
        <v>513</v>
      </c>
      <c r="C53" s="1">
        <v>44794</v>
      </c>
      <c r="D53" s="1">
        <v>43997</v>
      </c>
      <c r="E53" t="s">
        <v>514</v>
      </c>
      <c r="F53" t="s">
        <v>374</v>
      </c>
      <c r="G53" t="s">
        <v>375</v>
      </c>
      <c r="H53" t="s">
        <v>174</v>
      </c>
      <c r="I53" t="s">
        <v>63</v>
      </c>
      <c r="J53" t="s">
        <v>89</v>
      </c>
      <c r="K53" t="s">
        <v>41</v>
      </c>
      <c r="L53" t="s">
        <v>187</v>
      </c>
      <c r="M53" t="s">
        <v>244</v>
      </c>
      <c r="N53" t="s">
        <v>376</v>
      </c>
      <c r="O53" t="s">
        <v>68</v>
      </c>
      <c r="P53" t="s">
        <v>46</v>
      </c>
      <c r="Q53" t="s">
        <v>69</v>
      </c>
      <c r="R53" t="s">
        <v>70</v>
      </c>
      <c r="S53" t="s">
        <v>188</v>
      </c>
      <c r="T53" t="s">
        <v>50</v>
      </c>
      <c r="U53" t="s">
        <v>73</v>
      </c>
      <c r="V53">
        <v>20</v>
      </c>
      <c r="W53" t="s">
        <v>156</v>
      </c>
      <c r="X53">
        <v>140</v>
      </c>
      <c r="Y53" s="2">
        <v>2800</v>
      </c>
      <c r="Z53" t="s">
        <v>53</v>
      </c>
      <c r="AA53" s="3">
        <v>0.18</v>
      </c>
      <c r="AB53">
        <v>33049930</v>
      </c>
      <c r="AC53">
        <v>500</v>
      </c>
      <c r="AD53" t="s">
        <v>320</v>
      </c>
      <c r="AE53" t="s">
        <v>145</v>
      </c>
      <c r="AF53" t="s">
        <v>109</v>
      </c>
      <c r="AG53" t="s">
        <v>127</v>
      </c>
    </row>
    <row r="54" spans="1:33" x14ac:dyDescent="0.3">
      <c r="A54" t="s">
        <v>33</v>
      </c>
      <c r="B54" t="s">
        <v>515</v>
      </c>
      <c r="C54" s="1">
        <v>44795</v>
      </c>
      <c r="D54" s="1">
        <v>43997</v>
      </c>
      <c r="E54" t="s">
        <v>516</v>
      </c>
      <c r="F54" t="s">
        <v>387</v>
      </c>
      <c r="G54" t="s">
        <v>388</v>
      </c>
      <c r="H54" t="s">
        <v>38</v>
      </c>
      <c r="I54" t="s">
        <v>39</v>
      </c>
      <c r="J54" t="s">
        <v>102</v>
      </c>
      <c r="K54" t="s">
        <v>65</v>
      </c>
      <c r="L54" t="s">
        <v>42</v>
      </c>
      <c r="M54" t="s">
        <v>153</v>
      </c>
      <c r="N54" t="s">
        <v>154</v>
      </c>
      <c r="O54" t="s">
        <v>517</v>
      </c>
      <c r="P54" t="s">
        <v>46</v>
      </c>
      <c r="Q54" t="s">
        <v>518</v>
      </c>
      <c r="R54" t="s">
        <v>70</v>
      </c>
      <c r="S54" t="s">
        <v>49</v>
      </c>
      <c r="T54" t="s">
        <v>178</v>
      </c>
      <c r="U54" t="s">
        <v>73</v>
      </c>
      <c r="V54">
        <v>20</v>
      </c>
      <c r="W54" t="s">
        <v>156</v>
      </c>
      <c r="X54">
        <v>295</v>
      </c>
      <c r="Y54" s="2">
        <v>5900</v>
      </c>
      <c r="Z54" t="s">
        <v>53</v>
      </c>
      <c r="AA54" s="3">
        <v>0.18</v>
      </c>
      <c r="AB54">
        <v>33071010</v>
      </c>
      <c r="AC54">
        <v>1060</v>
      </c>
      <c r="AD54" t="s">
        <v>157</v>
      </c>
      <c r="AE54" t="s">
        <v>209</v>
      </c>
      <c r="AF54" t="s">
        <v>76</v>
      </c>
      <c r="AG54" t="s">
        <v>77</v>
      </c>
    </row>
    <row r="55" spans="1:33" x14ac:dyDescent="0.3">
      <c r="A55" t="s">
        <v>33</v>
      </c>
      <c r="B55" t="s">
        <v>521</v>
      </c>
      <c r="C55" s="1">
        <v>44877</v>
      </c>
      <c r="D55" s="1">
        <v>43997</v>
      </c>
      <c r="E55" t="s">
        <v>522</v>
      </c>
      <c r="F55" t="s">
        <v>399</v>
      </c>
      <c r="G55" t="s">
        <v>400</v>
      </c>
      <c r="H55" t="s">
        <v>62</v>
      </c>
      <c r="I55" t="s">
        <v>163</v>
      </c>
      <c r="J55" t="s">
        <v>116</v>
      </c>
      <c r="K55" t="s">
        <v>194</v>
      </c>
      <c r="L55" t="s">
        <v>187</v>
      </c>
      <c r="M55" t="s">
        <v>66</v>
      </c>
      <c r="N55" t="s">
        <v>67</v>
      </c>
      <c r="O55" t="s">
        <v>219</v>
      </c>
      <c r="P55" t="s">
        <v>46</v>
      </c>
      <c r="Q55" t="s">
        <v>220</v>
      </c>
      <c r="R55" t="s">
        <v>94</v>
      </c>
      <c r="S55" t="s">
        <v>188</v>
      </c>
      <c r="T55" t="s">
        <v>50</v>
      </c>
      <c r="U55" t="s">
        <v>144</v>
      </c>
      <c r="V55">
        <v>90</v>
      </c>
      <c r="W55" t="s">
        <v>156</v>
      </c>
      <c r="X55" s="2">
        <v>2403</v>
      </c>
      <c r="Y55" s="2">
        <v>216270</v>
      </c>
      <c r="Z55" t="s">
        <v>53</v>
      </c>
      <c r="AA55" s="3">
        <v>0.18</v>
      </c>
      <c r="AB55">
        <v>33012948</v>
      </c>
      <c r="AC55">
        <v>38930</v>
      </c>
      <c r="AD55" t="s">
        <v>108</v>
      </c>
      <c r="AE55" t="s">
        <v>180</v>
      </c>
      <c r="AF55" t="s">
        <v>76</v>
      </c>
      <c r="AG55" t="s">
        <v>218</v>
      </c>
    </row>
    <row r="56" spans="1:33" x14ac:dyDescent="0.3">
      <c r="A56" t="s">
        <v>33</v>
      </c>
      <c r="B56" t="s">
        <v>523</v>
      </c>
      <c r="C56" s="1">
        <v>44791</v>
      </c>
      <c r="D56" s="1">
        <v>43999</v>
      </c>
      <c r="E56" t="s">
        <v>524</v>
      </c>
      <c r="F56" t="s">
        <v>525</v>
      </c>
      <c r="G56" t="s">
        <v>526</v>
      </c>
      <c r="H56" t="s">
        <v>174</v>
      </c>
      <c r="I56" t="s">
        <v>185</v>
      </c>
      <c r="J56" t="s">
        <v>358</v>
      </c>
      <c r="K56" t="s">
        <v>194</v>
      </c>
      <c r="L56" t="s">
        <v>152</v>
      </c>
      <c r="M56" t="s">
        <v>153</v>
      </c>
      <c r="N56" t="s">
        <v>154</v>
      </c>
      <c r="O56" t="s">
        <v>527</v>
      </c>
      <c r="P56" t="s">
        <v>79</v>
      </c>
      <c r="Q56" t="s">
        <v>528</v>
      </c>
      <c r="R56" t="s">
        <v>122</v>
      </c>
      <c r="S56" t="s">
        <v>155</v>
      </c>
      <c r="T56" t="s">
        <v>124</v>
      </c>
      <c r="U56" t="s">
        <v>51</v>
      </c>
      <c r="V56">
        <v>90</v>
      </c>
      <c r="W56" t="s">
        <v>156</v>
      </c>
      <c r="X56">
        <v>12</v>
      </c>
      <c r="Y56" s="2">
        <v>1040</v>
      </c>
      <c r="Z56" t="s">
        <v>53</v>
      </c>
      <c r="AA56" s="3">
        <v>0.18</v>
      </c>
      <c r="AB56">
        <v>33051010</v>
      </c>
      <c r="AC56">
        <v>190</v>
      </c>
      <c r="AD56" t="s">
        <v>157</v>
      </c>
      <c r="AE56" t="s">
        <v>75</v>
      </c>
      <c r="AF56" t="s">
        <v>76</v>
      </c>
      <c r="AG56" t="s">
        <v>199</v>
      </c>
    </row>
    <row r="57" spans="1:33" x14ac:dyDescent="0.3">
      <c r="A57" t="s">
        <v>33</v>
      </c>
      <c r="B57" t="s">
        <v>529</v>
      </c>
      <c r="C57" s="1">
        <v>44794</v>
      </c>
      <c r="D57" s="1">
        <v>43999</v>
      </c>
      <c r="E57" t="s">
        <v>530</v>
      </c>
      <c r="F57" t="s">
        <v>531</v>
      </c>
      <c r="G57" t="s">
        <v>532</v>
      </c>
      <c r="H57" t="s">
        <v>38</v>
      </c>
      <c r="I57" t="s">
        <v>185</v>
      </c>
      <c r="J57" t="s">
        <v>151</v>
      </c>
      <c r="K57" t="s">
        <v>41</v>
      </c>
      <c r="L57" t="s">
        <v>42</v>
      </c>
      <c r="M57" t="s">
        <v>103</v>
      </c>
      <c r="N57" t="s">
        <v>104</v>
      </c>
      <c r="O57" t="s">
        <v>533</v>
      </c>
      <c r="P57" t="s">
        <v>79</v>
      </c>
      <c r="Q57" t="s">
        <v>534</v>
      </c>
      <c r="R57" t="s">
        <v>122</v>
      </c>
      <c r="S57" t="s">
        <v>49</v>
      </c>
      <c r="T57" t="s">
        <v>197</v>
      </c>
      <c r="U57" t="s">
        <v>73</v>
      </c>
      <c r="V57">
        <v>90</v>
      </c>
      <c r="W57" t="s">
        <v>156</v>
      </c>
      <c r="X57">
        <v>15</v>
      </c>
      <c r="Y57" s="2">
        <v>1340</v>
      </c>
      <c r="Z57" t="s">
        <v>53</v>
      </c>
      <c r="AA57" s="3">
        <v>0.18</v>
      </c>
      <c r="AB57">
        <v>33059090</v>
      </c>
      <c r="AC57">
        <v>240</v>
      </c>
      <c r="AD57" t="s">
        <v>95</v>
      </c>
      <c r="AE57" t="s">
        <v>180</v>
      </c>
      <c r="AF57" t="s">
        <v>109</v>
      </c>
      <c r="AG57" t="s">
        <v>127</v>
      </c>
    </row>
    <row r="58" spans="1:33" x14ac:dyDescent="0.3">
      <c r="A58" t="s">
        <v>33</v>
      </c>
      <c r="B58" t="s">
        <v>535</v>
      </c>
      <c r="C58" s="1">
        <v>44824</v>
      </c>
      <c r="D58" s="1">
        <v>44001</v>
      </c>
      <c r="E58" t="s">
        <v>536</v>
      </c>
      <c r="F58" t="s">
        <v>537</v>
      </c>
      <c r="G58" t="s">
        <v>538</v>
      </c>
      <c r="H58" t="s">
        <v>62</v>
      </c>
      <c r="I58" t="s">
        <v>185</v>
      </c>
      <c r="J58" t="s">
        <v>474</v>
      </c>
      <c r="K58" t="s">
        <v>65</v>
      </c>
      <c r="L58" t="s">
        <v>42</v>
      </c>
      <c r="M58" t="s">
        <v>164</v>
      </c>
      <c r="N58" t="s">
        <v>309</v>
      </c>
      <c r="O58" t="s">
        <v>83</v>
      </c>
      <c r="P58" t="s">
        <v>46</v>
      </c>
      <c r="Q58" t="s">
        <v>84</v>
      </c>
      <c r="R58" t="s">
        <v>48</v>
      </c>
      <c r="S58" t="s">
        <v>49</v>
      </c>
      <c r="T58" t="s">
        <v>208</v>
      </c>
      <c r="U58" t="s">
        <v>51</v>
      </c>
      <c r="V58">
        <v>30</v>
      </c>
      <c r="W58" t="s">
        <v>156</v>
      </c>
      <c r="X58">
        <v>450</v>
      </c>
      <c r="Y58" s="2">
        <v>13500</v>
      </c>
      <c r="Z58" t="s">
        <v>53</v>
      </c>
      <c r="AA58" s="3">
        <v>0.18</v>
      </c>
      <c r="AB58">
        <v>33041000</v>
      </c>
      <c r="AC58">
        <v>2430</v>
      </c>
      <c r="AD58" t="s">
        <v>217</v>
      </c>
      <c r="AE58" t="s">
        <v>126</v>
      </c>
      <c r="AF58" t="s">
        <v>56</v>
      </c>
      <c r="AG58" t="s">
        <v>218</v>
      </c>
    </row>
    <row r="59" spans="1:33" x14ac:dyDescent="0.3">
      <c r="A59" t="s">
        <v>33</v>
      </c>
      <c r="B59" t="s">
        <v>545</v>
      </c>
      <c r="C59" s="1">
        <v>44807</v>
      </c>
      <c r="D59" s="1">
        <v>44009</v>
      </c>
      <c r="E59" t="s">
        <v>546</v>
      </c>
      <c r="F59" t="s">
        <v>547</v>
      </c>
      <c r="G59" t="s">
        <v>548</v>
      </c>
      <c r="H59" t="s">
        <v>174</v>
      </c>
      <c r="I59" t="s">
        <v>63</v>
      </c>
      <c r="J59" t="s">
        <v>358</v>
      </c>
      <c r="K59" t="s">
        <v>41</v>
      </c>
      <c r="L59" t="s">
        <v>42</v>
      </c>
      <c r="M59" t="s">
        <v>204</v>
      </c>
      <c r="N59" t="s">
        <v>205</v>
      </c>
      <c r="O59" t="s">
        <v>451</v>
      </c>
      <c r="P59" t="s">
        <v>276</v>
      </c>
      <c r="Q59" t="s">
        <v>452</v>
      </c>
      <c r="R59" t="s">
        <v>94</v>
      </c>
      <c r="S59" t="s">
        <v>49</v>
      </c>
      <c r="T59" t="s">
        <v>197</v>
      </c>
      <c r="U59" t="s">
        <v>73</v>
      </c>
      <c r="V59">
        <v>30</v>
      </c>
      <c r="W59" t="s">
        <v>52</v>
      </c>
      <c r="X59">
        <v>240</v>
      </c>
      <c r="Y59" s="2">
        <v>7200</v>
      </c>
      <c r="Z59" t="s">
        <v>53</v>
      </c>
      <c r="AA59" s="3">
        <v>0.18</v>
      </c>
      <c r="AB59">
        <v>33051010</v>
      </c>
      <c r="AC59">
        <v>1300</v>
      </c>
      <c r="AD59" t="s">
        <v>189</v>
      </c>
      <c r="AE59" t="s">
        <v>126</v>
      </c>
      <c r="AF59" t="s">
        <v>56</v>
      </c>
      <c r="AG59" t="s">
        <v>127</v>
      </c>
    </row>
    <row r="60" spans="1:33" x14ac:dyDescent="0.3">
      <c r="A60" t="s">
        <v>33</v>
      </c>
      <c r="B60" t="s">
        <v>549</v>
      </c>
      <c r="C60" s="1">
        <v>44802</v>
      </c>
      <c r="D60" s="1">
        <v>44020</v>
      </c>
      <c r="E60" t="s">
        <v>550</v>
      </c>
      <c r="F60" t="s">
        <v>551</v>
      </c>
      <c r="G60" t="s">
        <v>552</v>
      </c>
      <c r="H60" t="s">
        <v>62</v>
      </c>
      <c r="I60" t="s">
        <v>63</v>
      </c>
      <c r="J60" t="s">
        <v>139</v>
      </c>
      <c r="K60" t="s">
        <v>65</v>
      </c>
      <c r="L60" t="s">
        <v>42</v>
      </c>
      <c r="M60" t="s">
        <v>153</v>
      </c>
      <c r="N60" t="s">
        <v>154</v>
      </c>
      <c r="O60" t="s">
        <v>553</v>
      </c>
      <c r="P60" t="s">
        <v>247</v>
      </c>
      <c r="Q60" t="s">
        <v>554</v>
      </c>
      <c r="R60" t="s">
        <v>94</v>
      </c>
      <c r="S60" t="s">
        <v>49</v>
      </c>
      <c r="T60" t="s">
        <v>178</v>
      </c>
      <c r="U60" t="s">
        <v>168</v>
      </c>
      <c r="V60">
        <v>70</v>
      </c>
      <c r="W60" t="s">
        <v>52</v>
      </c>
      <c r="X60" s="2">
        <v>37000</v>
      </c>
      <c r="Y60" s="2">
        <v>2590000</v>
      </c>
      <c r="Z60" t="s">
        <v>53</v>
      </c>
      <c r="AA60" s="3">
        <v>0.18</v>
      </c>
      <c r="AB60">
        <v>33013091</v>
      </c>
      <c r="AC60">
        <v>466200</v>
      </c>
      <c r="AD60" t="s">
        <v>468</v>
      </c>
      <c r="AE60" t="s">
        <v>180</v>
      </c>
      <c r="AF60" t="s">
        <v>109</v>
      </c>
      <c r="AG60" t="s">
        <v>97</v>
      </c>
    </row>
    <row r="61" spans="1:33" x14ac:dyDescent="0.3">
      <c r="A61" t="s">
        <v>33</v>
      </c>
      <c r="B61" t="s">
        <v>559</v>
      </c>
      <c r="C61" s="1">
        <v>44801</v>
      </c>
      <c r="D61" s="1">
        <v>44025</v>
      </c>
      <c r="E61" t="s">
        <v>560</v>
      </c>
      <c r="F61" t="s">
        <v>561</v>
      </c>
      <c r="G61" t="s">
        <v>562</v>
      </c>
      <c r="H61" t="s">
        <v>38</v>
      </c>
      <c r="I61" t="s">
        <v>185</v>
      </c>
      <c r="J61" t="s">
        <v>243</v>
      </c>
      <c r="K61" t="s">
        <v>65</v>
      </c>
      <c r="L61" t="s">
        <v>42</v>
      </c>
      <c r="M61" t="s">
        <v>195</v>
      </c>
      <c r="N61" t="s">
        <v>347</v>
      </c>
      <c r="O61" t="s">
        <v>259</v>
      </c>
      <c r="P61" t="s">
        <v>247</v>
      </c>
      <c r="Q61" t="s">
        <v>260</v>
      </c>
      <c r="R61" t="s">
        <v>122</v>
      </c>
      <c r="S61" t="s">
        <v>49</v>
      </c>
      <c r="T61" t="s">
        <v>178</v>
      </c>
      <c r="U61" t="s">
        <v>73</v>
      </c>
      <c r="V61">
        <v>60</v>
      </c>
      <c r="W61" t="s">
        <v>52</v>
      </c>
      <c r="X61" s="2">
        <v>16632</v>
      </c>
      <c r="Y61" s="2">
        <v>997920</v>
      </c>
      <c r="Z61" t="s">
        <v>53</v>
      </c>
      <c r="AA61" s="3">
        <v>0.18</v>
      </c>
      <c r="AB61">
        <v>33049930</v>
      </c>
      <c r="AC61">
        <v>179630</v>
      </c>
      <c r="AD61" t="s">
        <v>54</v>
      </c>
      <c r="AE61" t="s">
        <v>145</v>
      </c>
      <c r="AF61" t="s">
        <v>109</v>
      </c>
      <c r="AG61" t="s">
        <v>218</v>
      </c>
    </row>
    <row r="62" spans="1:33" x14ac:dyDescent="0.3">
      <c r="A62" t="s">
        <v>33</v>
      </c>
      <c r="B62" t="s">
        <v>563</v>
      </c>
      <c r="C62" s="1">
        <v>44806</v>
      </c>
      <c r="D62" s="1">
        <v>44027</v>
      </c>
      <c r="E62" t="s">
        <v>564</v>
      </c>
      <c r="F62" t="s">
        <v>565</v>
      </c>
      <c r="G62" t="s">
        <v>566</v>
      </c>
      <c r="H62" t="s">
        <v>38</v>
      </c>
      <c r="I62" t="s">
        <v>63</v>
      </c>
      <c r="J62" t="s">
        <v>40</v>
      </c>
      <c r="K62" t="s">
        <v>41</v>
      </c>
      <c r="L62" t="s">
        <v>187</v>
      </c>
      <c r="M62" t="s">
        <v>90</v>
      </c>
      <c r="N62" t="s">
        <v>214</v>
      </c>
      <c r="O62" t="s">
        <v>257</v>
      </c>
      <c r="P62" t="s">
        <v>247</v>
      </c>
      <c r="Q62" t="s">
        <v>258</v>
      </c>
      <c r="R62" t="s">
        <v>48</v>
      </c>
      <c r="S62" t="s">
        <v>188</v>
      </c>
      <c r="T62" t="s">
        <v>50</v>
      </c>
      <c r="U62" t="s">
        <v>73</v>
      </c>
      <c r="V62">
        <v>60</v>
      </c>
      <c r="W62" t="s">
        <v>52</v>
      </c>
      <c r="X62">
        <v>35</v>
      </c>
      <c r="Y62" s="2">
        <v>2100</v>
      </c>
      <c r="Z62" t="s">
        <v>53</v>
      </c>
      <c r="AA62" s="3">
        <v>0.18</v>
      </c>
      <c r="AB62">
        <v>33030050</v>
      </c>
      <c r="AC62">
        <v>380</v>
      </c>
      <c r="AD62" t="s">
        <v>320</v>
      </c>
      <c r="AE62" t="s">
        <v>96</v>
      </c>
      <c r="AF62" t="s">
        <v>109</v>
      </c>
      <c r="AG62" t="s">
        <v>361</v>
      </c>
    </row>
    <row r="63" spans="1:33" x14ac:dyDescent="0.3">
      <c r="A63" t="s">
        <v>33</v>
      </c>
      <c r="B63" t="s">
        <v>567</v>
      </c>
      <c r="C63" s="1">
        <v>44855</v>
      </c>
      <c r="D63" s="1">
        <v>44072</v>
      </c>
      <c r="E63" t="s">
        <v>568</v>
      </c>
      <c r="F63" t="s">
        <v>569</v>
      </c>
      <c r="G63" t="s">
        <v>570</v>
      </c>
      <c r="H63" t="s">
        <v>38</v>
      </c>
      <c r="I63" t="s">
        <v>63</v>
      </c>
      <c r="J63" t="s">
        <v>571</v>
      </c>
      <c r="K63" t="s">
        <v>194</v>
      </c>
      <c r="L63" t="s">
        <v>117</v>
      </c>
      <c r="M63" t="s">
        <v>244</v>
      </c>
      <c r="N63" t="s">
        <v>572</v>
      </c>
      <c r="O63" t="s">
        <v>573</v>
      </c>
      <c r="P63" t="s">
        <v>79</v>
      </c>
      <c r="Q63" t="s">
        <v>574</v>
      </c>
      <c r="R63" t="s">
        <v>107</v>
      </c>
      <c r="S63" t="s">
        <v>123</v>
      </c>
      <c r="T63" t="s">
        <v>197</v>
      </c>
      <c r="U63" t="s">
        <v>144</v>
      </c>
      <c r="V63">
        <v>40</v>
      </c>
      <c r="W63" t="s">
        <v>52</v>
      </c>
      <c r="X63" s="2">
        <v>12250</v>
      </c>
      <c r="Y63" s="2">
        <v>490000</v>
      </c>
      <c r="Z63" t="s">
        <v>53</v>
      </c>
      <c r="AA63" s="3">
        <v>0.18</v>
      </c>
      <c r="AB63">
        <v>33059090</v>
      </c>
      <c r="AC63">
        <v>88200</v>
      </c>
      <c r="AD63" t="s">
        <v>217</v>
      </c>
      <c r="AE63" t="s">
        <v>145</v>
      </c>
      <c r="AF63" t="s">
        <v>109</v>
      </c>
      <c r="AG63" t="s">
        <v>97</v>
      </c>
    </row>
    <row r="64" spans="1:33" x14ac:dyDescent="0.3">
      <c r="A64" t="s">
        <v>33</v>
      </c>
      <c r="B64" t="s">
        <v>575</v>
      </c>
      <c r="C64" s="1">
        <v>44843</v>
      </c>
      <c r="D64" s="1">
        <v>44072</v>
      </c>
      <c r="E64" t="s">
        <v>576</v>
      </c>
      <c r="F64" t="s">
        <v>577</v>
      </c>
      <c r="G64" t="s">
        <v>578</v>
      </c>
      <c r="H64" t="s">
        <v>62</v>
      </c>
      <c r="I64" t="s">
        <v>63</v>
      </c>
      <c r="J64" t="s">
        <v>64</v>
      </c>
      <c r="K64" t="s">
        <v>65</v>
      </c>
      <c r="L64" t="s">
        <v>253</v>
      </c>
      <c r="M64" t="s">
        <v>153</v>
      </c>
      <c r="N64" t="s">
        <v>154</v>
      </c>
      <c r="O64" t="s">
        <v>579</v>
      </c>
      <c r="P64" t="s">
        <v>79</v>
      </c>
      <c r="Q64" t="s">
        <v>580</v>
      </c>
      <c r="R64" t="s">
        <v>48</v>
      </c>
      <c r="S64" t="s">
        <v>71</v>
      </c>
      <c r="T64" t="s">
        <v>72</v>
      </c>
      <c r="U64" t="s">
        <v>73</v>
      </c>
      <c r="V64">
        <v>40</v>
      </c>
      <c r="W64" t="s">
        <v>52</v>
      </c>
      <c r="X64">
        <v>336</v>
      </c>
      <c r="Y64" s="2">
        <v>13440</v>
      </c>
      <c r="Z64" t="s">
        <v>53</v>
      </c>
      <c r="AA64" s="3">
        <v>0.18</v>
      </c>
      <c r="AB64">
        <v>33041000</v>
      </c>
      <c r="AC64">
        <v>2420</v>
      </c>
      <c r="AD64" t="s">
        <v>54</v>
      </c>
      <c r="AE64" t="s">
        <v>209</v>
      </c>
      <c r="AF64" t="s">
        <v>76</v>
      </c>
      <c r="AG64" t="s">
        <v>57</v>
      </c>
    </row>
    <row r="65" spans="1:33" x14ac:dyDescent="0.3">
      <c r="A65" t="s">
        <v>33</v>
      </c>
      <c r="B65" t="s">
        <v>581</v>
      </c>
      <c r="C65" s="1">
        <v>44823</v>
      </c>
      <c r="D65" s="1">
        <v>44072</v>
      </c>
      <c r="E65" t="s">
        <v>582</v>
      </c>
      <c r="F65" t="s">
        <v>583</v>
      </c>
      <c r="G65" t="s">
        <v>584</v>
      </c>
      <c r="H65" t="s">
        <v>38</v>
      </c>
      <c r="I65" t="s">
        <v>163</v>
      </c>
      <c r="J65" t="s">
        <v>358</v>
      </c>
      <c r="K65" t="s">
        <v>194</v>
      </c>
      <c r="L65" t="s">
        <v>117</v>
      </c>
      <c r="M65" t="s">
        <v>103</v>
      </c>
      <c r="N65" t="s">
        <v>254</v>
      </c>
      <c r="O65" t="s">
        <v>464</v>
      </c>
      <c r="P65" t="s">
        <v>46</v>
      </c>
      <c r="Q65" t="s">
        <v>465</v>
      </c>
      <c r="R65" t="s">
        <v>48</v>
      </c>
      <c r="S65" t="s">
        <v>123</v>
      </c>
      <c r="T65" t="s">
        <v>178</v>
      </c>
      <c r="U65" t="s">
        <v>51</v>
      </c>
      <c r="V65">
        <v>40</v>
      </c>
      <c r="W65" t="s">
        <v>52</v>
      </c>
      <c r="X65">
        <v>438</v>
      </c>
      <c r="Y65" s="2">
        <v>17520</v>
      </c>
      <c r="Z65" t="s">
        <v>53</v>
      </c>
      <c r="AA65" s="3">
        <v>0.18</v>
      </c>
      <c r="AB65">
        <v>33071010</v>
      </c>
      <c r="AC65">
        <v>3150</v>
      </c>
      <c r="AD65" t="s">
        <v>74</v>
      </c>
      <c r="AE65" t="s">
        <v>55</v>
      </c>
      <c r="AF65" t="s">
        <v>109</v>
      </c>
      <c r="AG65" t="s">
        <v>77</v>
      </c>
    </row>
    <row r="66" spans="1:33" x14ac:dyDescent="0.3">
      <c r="A66" t="s">
        <v>33</v>
      </c>
      <c r="B66" t="s">
        <v>585</v>
      </c>
      <c r="C66" s="1">
        <v>44832</v>
      </c>
      <c r="D66" s="1">
        <v>44079</v>
      </c>
      <c r="E66" t="s">
        <v>586</v>
      </c>
      <c r="F66" t="s">
        <v>587</v>
      </c>
      <c r="G66" t="s">
        <v>588</v>
      </c>
      <c r="H66" t="s">
        <v>62</v>
      </c>
      <c r="I66" t="s">
        <v>39</v>
      </c>
      <c r="J66" t="s">
        <v>151</v>
      </c>
      <c r="K66" t="s">
        <v>41</v>
      </c>
      <c r="L66" t="s">
        <v>42</v>
      </c>
      <c r="M66" t="s">
        <v>164</v>
      </c>
      <c r="N66" t="s">
        <v>589</v>
      </c>
      <c r="O66" t="s">
        <v>539</v>
      </c>
      <c r="P66" t="s">
        <v>79</v>
      </c>
      <c r="Q66" t="s">
        <v>540</v>
      </c>
      <c r="R66" t="s">
        <v>122</v>
      </c>
      <c r="S66" t="s">
        <v>49</v>
      </c>
      <c r="T66" t="s">
        <v>124</v>
      </c>
      <c r="U66" t="s">
        <v>73</v>
      </c>
      <c r="V66">
        <v>60</v>
      </c>
      <c r="W66" t="s">
        <v>52</v>
      </c>
      <c r="X66">
        <v>388</v>
      </c>
      <c r="Y66" s="2">
        <v>23280</v>
      </c>
      <c r="Z66" t="s">
        <v>53</v>
      </c>
      <c r="AA66" s="3">
        <v>0.18</v>
      </c>
      <c r="AB66">
        <v>33030050</v>
      </c>
      <c r="AC66">
        <v>4190</v>
      </c>
      <c r="AD66" t="s">
        <v>125</v>
      </c>
      <c r="AE66" t="s">
        <v>75</v>
      </c>
      <c r="AF66" t="s">
        <v>56</v>
      </c>
      <c r="AG66" t="s">
        <v>199</v>
      </c>
    </row>
    <row r="67" spans="1:33" x14ac:dyDescent="0.3">
      <c r="A67" t="s">
        <v>33</v>
      </c>
      <c r="B67" t="s">
        <v>590</v>
      </c>
      <c r="C67" s="1">
        <v>44834</v>
      </c>
      <c r="D67" s="1">
        <v>44080</v>
      </c>
      <c r="E67" t="s">
        <v>591</v>
      </c>
      <c r="F67" t="s">
        <v>592</v>
      </c>
      <c r="G67" t="s">
        <v>593</v>
      </c>
      <c r="H67" t="s">
        <v>138</v>
      </c>
      <c r="I67" t="s">
        <v>63</v>
      </c>
      <c r="J67" t="s">
        <v>474</v>
      </c>
      <c r="K67" t="s">
        <v>41</v>
      </c>
      <c r="L67" t="s">
        <v>253</v>
      </c>
      <c r="M67" t="s">
        <v>176</v>
      </c>
      <c r="N67" t="s">
        <v>594</v>
      </c>
      <c r="O67" t="s">
        <v>462</v>
      </c>
      <c r="P67" t="s">
        <v>46</v>
      </c>
      <c r="Q67" t="s">
        <v>463</v>
      </c>
      <c r="R67" t="s">
        <v>122</v>
      </c>
      <c r="S67" t="s">
        <v>71</v>
      </c>
      <c r="T67" t="s">
        <v>197</v>
      </c>
      <c r="U67" t="s">
        <v>51</v>
      </c>
      <c r="V67">
        <v>60</v>
      </c>
      <c r="W67" t="s">
        <v>52</v>
      </c>
      <c r="X67">
        <v>82</v>
      </c>
      <c r="Y67" s="2">
        <v>4920</v>
      </c>
      <c r="Z67" t="s">
        <v>53</v>
      </c>
      <c r="AA67" s="3">
        <v>0.18</v>
      </c>
      <c r="AB67">
        <v>33051010</v>
      </c>
      <c r="AC67">
        <v>890</v>
      </c>
      <c r="AD67" t="s">
        <v>320</v>
      </c>
      <c r="AE67" t="s">
        <v>180</v>
      </c>
      <c r="AF67" t="s">
        <v>76</v>
      </c>
      <c r="AG67" t="s">
        <v>127</v>
      </c>
    </row>
    <row r="68" spans="1:33" x14ac:dyDescent="0.3">
      <c r="A68" t="s">
        <v>33</v>
      </c>
      <c r="B68" t="s">
        <v>595</v>
      </c>
      <c r="C68" s="1">
        <v>44845</v>
      </c>
      <c r="D68" s="1">
        <v>44090</v>
      </c>
      <c r="E68" t="s">
        <v>596</v>
      </c>
      <c r="F68" t="s">
        <v>597</v>
      </c>
      <c r="G68" t="s">
        <v>598</v>
      </c>
      <c r="H68" t="s">
        <v>38</v>
      </c>
      <c r="I68" t="s">
        <v>39</v>
      </c>
      <c r="J68" t="s">
        <v>571</v>
      </c>
      <c r="K68" t="s">
        <v>65</v>
      </c>
      <c r="L68" t="s">
        <v>187</v>
      </c>
      <c r="M68" t="s">
        <v>267</v>
      </c>
      <c r="N68" t="s">
        <v>599</v>
      </c>
      <c r="O68" t="s">
        <v>451</v>
      </c>
      <c r="P68" t="s">
        <v>276</v>
      </c>
      <c r="Q68" t="s">
        <v>452</v>
      </c>
      <c r="R68" t="s">
        <v>107</v>
      </c>
      <c r="S68" t="s">
        <v>188</v>
      </c>
      <c r="T68" t="s">
        <v>50</v>
      </c>
      <c r="U68" t="s">
        <v>51</v>
      </c>
      <c r="V68">
        <v>240</v>
      </c>
      <c r="W68" t="s">
        <v>52</v>
      </c>
      <c r="X68" s="2">
        <v>3390</v>
      </c>
      <c r="Y68" s="2">
        <v>813600</v>
      </c>
      <c r="Z68" t="s">
        <v>53</v>
      </c>
      <c r="AA68" s="3">
        <v>0.18</v>
      </c>
      <c r="AB68">
        <v>33071010</v>
      </c>
      <c r="AC68">
        <v>146450</v>
      </c>
      <c r="AD68" t="s">
        <v>125</v>
      </c>
      <c r="AE68" t="s">
        <v>180</v>
      </c>
      <c r="AF68" t="s">
        <v>109</v>
      </c>
      <c r="AG68" t="s">
        <v>77</v>
      </c>
    </row>
    <row r="69" spans="1:33" x14ac:dyDescent="0.3">
      <c r="A69" t="s">
        <v>33</v>
      </c>
      <c r="B69" t="s">
        <v>600</v>
      </c>
      <c r="C69" s="1">
        <v>44846</v>
      </c>
      <c r="D69" s="1">
        <v>44090</v>
      </c>
      <c r="E69" t="s">
        <v>601</v>
      </c>
      <c r="F69" t="s">
        <v>602</v>
      </c>
      <c r="G69" t="s">
        <v>603</v>
      </c>
      <c r="H69" t="s">
        <v>38</v>
      </c>
      <c r="I69" t="s">
        <v>63</v>
      </c>
      <c r="J69" t="s">
        <v>40</v>
      </c>
      <c r="K69" t="s">
        <v>41</v>
      </c>
      <c r="L69" t="s">
        <v>42</v>
      </c>
      <c r="M69" t="s">
        <v>235</v>
      </c>
      <c r="N69" t="s">
        <v>236</v>
      </c>
      <c r="O69" t="s">
        <v>543</v>
      </c>
      <c r="P69" t="s">
        <v>276</v>
      </c>
      <c r="Q69" t="s">
        <v>544</v>
      </c>
      <c r="R69" t="s">
        <v>107</v>
      </c>
      <c r="S69" t="s">
        <v>49</v>
      </c>
      <c r="T69" t="s">
        <v>72</v>
      </c>
      <c r="U69" t="s">
        <v>73</v>
      </c>
      <c r="V69">
        <v>200</v>
      </c>
      <c r="W69" t="s">
        <v>52</v>
      </c>
      <c r="X69">
        <v>8</v>
      </c>
      <c r="Y69" s="2">
        <v>1540</v>
      </c>
      <c r="Z69" t="s">
        <v>53</v>
      </c>
      <c r="AA69" s="3">
        <v>0.18</v>
      </c>
      <c r="AB69">
        <v>33030050</v>
      </c>
      <c r="AC69">
        <v>280</v>
      </c>
      <c r="AD69" t="s">
        <v>320</v>
      </c>
      <c r="AE69" t="s">
        <v>145</v>
      </c>
      <c r="AF69" t="s">
        <v>109</v>
      </c>
      <c r="AG69" t="s">
        <v>199</v>
      </c>
    </row>
    <row r="70" spans="1:33" x14ac:dyDescent="0.3">
      <c r="A70" t="s">
        <v>33</v>
      </c>
      <c r="B70" t="s">
        <v>604</v>
      </c>
      <c r="C70" s="1">
        <v>44847</v>
      </c>
      <c r="D70" s="1">
        <v>44090</v>
      </c>
      <c r="E70" t="s">
        <v>605</v>
      </c>
      <c r="F70" t="s">
        <v>606</v>
      </c>
      <c r="G70" t="s">
        <v>607</v>
      </c>
      <c r="H70" t="s">
        <v>38</v>
      </c>
      <c r="I70" t="s">
        <v>163</v>
      </c>
      <c r="J70" t="s">
        <v>64</v>
      </c>
      <c r="K70" t="s">
        <v>65</v>
      </c>
      <c r="L70" t="s">
        <v>253</v>
      </c>
      <c r="M70" t="s">
        <v>244</v>
      </c>
      <c r="N70" t="s">
        <v>572</v>
      </c>
      <c r="O70" t="s">
        <v>608</v>
      </c>
      <c r="P70" t="s">
        <v>276</v>
      </c>
      <c r="Q70" t="s">
        <v>609</v>
      </c>
      <c r="R70" t="s">
        <v>48</v>
      </c>
      <c r="S70" t="s">
        <v>71</v>
      </c>
      <c r="T70" t="s">
        <v>178</v>
      </c>
      <c r="U70" t="s">
        <v>51</v>
      </c>
      <c r="V70">
        <v>200</v>
      </c>
      <c r="W70" t="s">
        <v>52</v>
      </c>
      <c r="X70" s="2">
        <v>3000</v>
      </c>
      <c r="Y70" s="2">
        <v>600000</v>
      </c>
      <c r="Z70" t="s">
        <v>53</v>
      </c>
      <c r="AA70" s="3">
        <v>0.18</v>
      </c>
      <c r="AB70">
        <v>33013091</v>
      </c>
      <c r="AC70">
        <v>108000</v>
      </c>
      <c r="AD70" t="s">
        <v>468</v>
      </c>
      <c r="AE70" t="s">
        <v>126</v>
      </c>
      <c r="AF70" t="s">
        <v>109</v>
      </c>
      <c r="AG70" t="s">
        <v>127</v>
      </c>
    </row>
    <row r="71" spans="1:33" x14ac:dyDescent="0.3">
      <c r="A71" t="s">
        <v>33</v>
      </c>
      <c r="B71" t="s">
        <v>610</v>
      </c>
      <c r="C71" s="1">
        <v>44884</v>
      </c>
      <c r="D71" s="1">
        <v>44093</v>
      </c>
      <c r="E71" t="s">
        <v>611</v>
      </c>
      <c r="F71" t="s">
        <v>612</v>
      </c>
      <c r="G71" t="s">
        <v>613</v>
      </c>
      <c r="H71" t="s">
        <v>38</v>
      </c>
      <c r="I71" t="s">
        <v>175</v>
      </c>
      <c r="J71" t="s">
        <v>358</v>
      </c>
      <c r="K71" t="s">
        <v>194</v>
      </c>
      <c r="L71" t="s">
        <v>117</v>
      </c>
      <c r="M71" t="s">
        <v>90</v>
      </c>
      <c r="N71" t="s">
        <v>214</v>
      </c>
      <c r="O71" t="s">
        <v>614</v>
      </c>
      <c r="P71" t="s">
        <v>276</v>
      </c>
      <c r="Q71" t="s">
        <v>615</v>
      </c>
      <c r="R71" t="s">
        <v>48</v>
      </c>
      <c r="S71" t="s">
        <v>123</v>
      </c>
      <c r="T71" t="s">
        <v>124</v>
      </c>
      <c r="U71" t="s">
        <v>73</v>
      </c>
      <c r="V71">
        <v>40</v>
      </c>
      <c r="W71" t="s">
        <v>52</v>
      </c>
      <c r="X71" s="2">
        <v>2076</v>
      </c>
      <c r="Y71" s="2">
        <v>83040</v>
      </c>
      <c r="Z71" t="s">
        <v>53</v>
      </c>
      <c r="AA71" s="3">
        <v>0.18</v>
      </c>
      <c r="AB71">
        <v>33012948</v>
      </c>
      <c r="AC71">
        <v>14950</v>
      </c>
      <c r="AD71" t="s">
        <v>157</v>
      </c>
      <c r="AE71" t="s">
        <v>209</v>
      </c>
      <c r="AF71" t="s">
        <v>76</v>
      </c>
      <c r="AG71" t="s">
        <v>218</v>
      </c>
    </row>
    <row r="72" spans="1:33" x14ac:dyDescent="0.3">
      <c r="A72" t="s">
        <v>33</v>
      </c>
      <c r="B72" t="s">
        <v>616</v>
      </c>
      <c r="C72" s="1">
        <v>44892</v>
      </c>
      <c r="D72" s="1">
        <v>44094</v>
      </c>
      <c r="E72" t="s">
        <v>617</v>
      </c>
      <c r="F72" t="s">
        <v>618</v>
      </c>
      <c r="G72" t="s">
        <v>619</v>
      </c>
      <c r="H72" t="s">
        <v>38</v>
      </c>
      <c r="I72" t="s">
        <v>185</v>
      </c>
      <c r="J72" t="s">
        <v>151</v>
      </c>
      <c r="K72" t="s">
        <v>194</v>
      </c>
      <c r="L72" t="s">
        <v>42</v>
      </c>
      <c r="M72" t="s">
        <v>153</v>
      </c>
      <c r="N72" t="s">
        <v>154</v>
      </c>
      <c r="O72" t="s">
        <v>620</v>
      </c>
      <c r="P72" t="s">
        <v>276</v>
      </c>
      <c r="Q72" t="s">
        <v>621</v>
      </c>
      <c r="R72" t="s">
        <v>122</v>
      </c>
      <c r="S72" t="s">
        <v>49</v>
      </c>
      <c r="T72" t="s">
        <v>197</v>
      </c>
      <c r="U72" t="s">
        <v>51</v>
      </c>
      <c r="V72">
        <v>40</v>
      </c>
      <c r="W72" t="s">
        <v>52</v>
      </c>
      <c r="X72">
        <v>281</v>
      </c>
      <c r="Y72" s="2">
        <v>11240</v>
      </c>
      <c r="Z72" t="s">
        <v>53</v>
      </c>
      <c r="AA72" s="3">
        <v>0.18</v>
      </c>
      <c r="AB72">
        <v>33013091</v>
      </c>
      <c r="AC72">
        <v>2020</v>
      </c>
      <c r="AD72" t="s">
        <v>95</v>
      </c>
      <c r="AE72" t="s">
        <v>96</v>
      </c>
      <c r="AF72" t="s">
        <v>76</v>
      </c>
      <c r="AG72" t="s">
        <v>158</v>
      </c>
    </row>
    <row r="73" spans="1:33" x14ac:dyDescent="0.3">
      <c r="A73" t="s">
        <v>33</v>
      </c>
      <c r="B73" t="s">
        <v>622</v>
      </c>
      <c r="C73" s="1">
        <v>44894</v>
      </c>
      <c r="D73" s="1">
        <v>44095</v>
      </c>
      <c r="E73" t="s">
        <v>623</v>
      </c>
      <c r="F73" t="s">
        <v>624</v>
      </c>
      <c r="G73" t="s">
        <v>625</v>
      </c>
      <c r="H73" t="s">
        <v>62</v>
      </c>
      <c r="I73" t="s">
        <v>185</v>
      </c>
      <c r="J73" t="s">
        <v>474</v>
      </c>
      <c r="K73" t="s">
        <v>41</v>
      </c>
      <c r="L73" t="s">
        <v>253</v>
      </c>
      <c r="M73" t="s">
        <v>103</v>
      </c>
      <c r="N73" t="s">
        <v>254</v>
      </c>
      <c r="O73" t="s">
        <v>275</v>
      </c>
      <c r="P73" t="s">
        <v>276</v>
      </c>
      <c r="Q73" t="s">
        <v>277</v>
      </c>
      <c r="R73" t="s">
        <v>122</v>
      </c>
      <c r="S73" t="s">
        <v>71</v>
      </c>
      <c r="T73" t="s">
        <v>208</v>
      </c>
      <c r="U73" t="s">
        <v>73</v>
      </c>
      <c r="V73">
        <v>40</v>
      </c>
      <c r="W73" t="s">
        <v>52</v>
      </c>
      <c r="X73">
        <v>82</v>
      </c>
      <c r="Y73" s="2">
        <v>3260</v>
      </c>
      <c r="Z73" t="s">
        <v>53</v>
      </c>
      <c r="AA73" s="3">
        <v>0.18</v>
      </c>
      <c r="AB73">
        <v>33012948</v>
      </c>
      <c r="AC73">
        <v>590</v>
      </c>
      <c r="AD73" t="s">
        <v>217</v>
      </c>
      <c r="AE73" t="s">
        <v>55</v>
      </c>
      <c r="AF73" t="s">
        <v>76</v>
      </c>
      <c r="AG73" t="s">
        <v>97</v>
      </c>
    </row>
    <row r="74" spans="1:33" x14ac:dyDescent="0.3">
      <c r="A74" t="s">
        <v>33</v>
      </c>
      <c r="B74" t="s">
        <v>626</v>
      </c>
      <c r="C74" s="1">
        <v>44915</v>
      </c>
      <c r="D74" s="1">
        <v>44123</v>
      </c>
      <c r="E74" t="s">
        <v>627</v>
      </c>
      <c r="F74" t="s">
        <v>628</v>
      </c>
      <c r="G74" t="s">
        <v>629</v>
      </c>
      <c r="H74" t="s">
        <v>174</v>
      </c>
      <c r="I74" t="s">
        <v>163</v>
      </c>
      <c r="J74" t="s">
        <v>102</v>
      </c>
      <c r="K74" t="s">
        <v>65</v>
      </c>
      <c r="L74" t="s">
        <v>117</v>
      </c>
      <c r="M74" t="s">
        <v>164</v>
      </c>
      <c r="N74" t="s">
        <v>165</v>
      </c>
      <c r="O74" t="s">
        <v>269</v>
      </c>
      <c r="P74" t="s">
        <v>247</v>
      </c>
      <c r="Q74" t="s">
        <v>270</v>
      </c>
      <c r="R74" t="s">
        <v>122</v>
      </c>
      <c r="S74" t="s">
        <v>123</v>
      </c>
      <c r="T74" t="s">
        <v>50</v>
      </c>
      <c r="U74" t="s">
        <v>51</v>
      </c>
      <c r="V74">
        <v>150</v>
      </c>
      <c r="W74" t="s">
        <v>52</v>
      </c>
      <c r="X74">
        <v>69</v>
      </c>
      <c r="Y74" s="2">
        <v>10290</v>
      </c>
      <c r="Z74" t="s">
        <v>53</v>
      </c>
      <c r="AA74" s="3">
        <v>0.18</v>
      </c>
      <c r="AB74">
        <v>33012948</v>
      </c>
      <c r="AC74">
        <v>1850</v>
      </c>
      <c r="AD74" t="s">
        <v>468</v>
      </c>
      <c r="AE74" t="s">
        <v>126</v>
      </c>
      <c r="AF74" t="s">
        <v>109</v>
      </c>
      <c r="AG74" t="s">
        <v>97</v>
      </c>
    </row>
    <row r="75" spans="1:33" x14ac:dyDescent="0.3">
      <c r="A75" t="s">
        <v>33</v>
      </c>
      <c r="B75" t="s">
        <v>630</v>
      </c>
      <c r="C75" s="1">
        <v>44916</v>
      </c>
      <c r="D75" s="1">
        <v>44124</v>
      </c>
      <c r="E75" t="s">
        <v>631</v>
      </c>
      <c r="F75" t="s">
        <v>632</v>
      </c>
      <c r="G75" t="s">
        <v>633</v>
      </c>
      <c r="H75" t="s">
        <v>150</v>
      </c>
      <c r="I75" t="s">
        <v>175</v>
      </c>
      <c r="J75" t="s">
        <v>234</v>
      </c>
      <c r="K75" t="s">
        <v>194</v>
      </c>
      <c r="L75" t="s">
        <v>42</v>
      </c>
      <c r="M75" t="s">
        <v>176</v>
      </c>
      <c r="N75" t="s">
        <v>594</v>
      </c>
      <c r="O75" t="s">
        <v>348</v>
      </c>
      <c r="P75" t="s">
        <v>247</v>
      </c>
      <c r="Q75" t="s">
        <v>349</v>
      </c>
      <c r="R75" t="s">
        <v>122</v>
      </c>
      <c r="S75" t="s">
        <v>49</v>
      </c>
      <c r="T75" t="s">
        <v>50</v>
      </c>
      <c r="U75" t="s">
        <v>73</v>
      </c>
      <c r="V75">
        <v>20</v>
      </c>
      <c r="W75" t="s">
        <v>52</v>
      </c>
      <c r="X75">
        <v>64</v>
      </c>
      <c r="Y75" s="2">
        <v>1280</v>
      </c>
      <c r="Z75" t="s">
        <v>53</v>
      </c>
      <c r="AA75" s="3">
        <v>0.18</v>
      </c>
      <c r="AB75">
        <v>33013091</v>
      </c>
      <c r="AC75">
        <v>230</v>
      </c>
      <c r="AD75" t="s">
        <v>157</v>
      </c>
      <c r="AE75" t="s">
        <v>180</v>
      </c>
      <c r="AF75" t="s">
        <v>109</v>
      </c>
      <c r="AG75" t="s">
        <v>361</v>
      </c>
    </row>
    <row r="76" spans="1:33" x14ac:dyDescent="0.3">
      <c r="A76" t="s">
        <v>33</v>
      </c>
      <c r="B76" t="s">
        <v>634</v>
      </c>
      <c r="C76" s="1">
        <v>44923</v>
      </c>
      <c r="D76" s="1">
        <v>44128</v>
      </c>
      <c r="E76" t="s">
        <v>635</v>
      </c>
      <c r="F76" t="s">
        <v>636</v>
      </c>
      <c r="G76" t="s">
        <v>637</v>
      </c>
      <c r="H76" t="s">
        <v>150</v>
      </c>
      <c r="I76" t="s">
        <v>163</v>
      </c>
      <c r="J76" t="s">
        <v>64</v>
      </c>
      <c r="K76" t="s">
        <v>41</v>
      </c>
      <c r="L76" t="s">
        <v>117</v>
      </c>
      <c r="M76" t="s">
        <v>66</v>
      </c>
      <c r="N76" t="s">
        <v>638</v>
      </c>
      <c r="O76" t="s">
        <v>352</v>
      </c>
      <c r="P76" t="s">
        <v>338</v>
      </c>
      <c r="Q76" t="s">
        <v>353</v>
      </c>
      <c r="R76" t="s">
        <v>94</v>
      </c>
      <c r="S76" t="s">
        <v>123</v>
      </c>
      <c r="T76" t="s">
        <v>72</v>
      </c>
      <c r="U76" t="s">
        <v>73</v>
      </c>
      <c r="V76">
        <v>70</v>
      </c>
      <c r="W76" t="s">
        <v>52</v>
      </c>
      <c r="X76">
        <v>950</v>
      </c>
      <c r="Y76" s="2">
        <v>66500</v>
      </c>
      <c r="Z76" t="s">
        <v>53</v>
      </c>
      <c r="AA76" s="3">
        <v>0.18</v>
      </c>
      <c r="AB76">
        <v>33030050</v>
      </c>
      <c r="AC76">
        <v>11970</v>
      </c>
      <c r="AD76" t="s">
        <v>74</v>
      </c>
      <c r="AE76" t="s">
        <v>180</v>
      </c>
      <c r="AF76" t="s">
        <v>56</v>
      </c>
      <c r="AG76" t="s">
        <v>97</v>
      </c>
    </row>
    <row r="77" spans="1:33" x14ac:dyDescent="0.3">
      <c r="A77" t="s">
        <v>33</v>
      </c>
      <c r="B77" t="s">
        <v>639</v>
      </c>
      <c r="C77" s="1">
        <v>44928</v>
      </c>
      <c r="D77" s="1">
        <v>44132</v>
      </c>
      <c r="E77" t="s">
        <v>640</v>
      </c>
      <c r="F77" t="s">
        <v>641</v>
      </c>
      <c r="G77" t="s">
        <v>642</v>
      </c>
      <c r="H77" t="s">
        <v>38</v>
      </c>
      <c r="I77" t="s">
        <v>39</v>
      </c>
      <c r="J77" t="s">
        <v>358</v>
      </c>
      <c r="K77" t="s">
        <v>65</v>
      </c>
      <c r="L77" t="s">
        <v>187</v>
      </c>
      <c r="M77" t="s">
        <v>140</v>
      </c>
      <c r="N77" t="s">
        <v>141</v>
      </c>
      <c r="O77" t="s">
        <v>350</v>
      </c>
      <c r="P77" t="s">
        <v>338</v>
      </c>
      <c r="Q77" t="s">
        <v>351</v>
      </c>
      <c r="R77" t="s">
        <v>107</v>
      </c>
      <c r="S77" t="s">
        <v>188</v>
      </c>
      <c r="T77" t="s">
        <v>178</v>
      </c>
      <c r="U77" t="s">
        <v>144</v>
      </c>
      <c r="V77">
        <v>10</v>
      </c>
      <c r="W77" t="s">
        <v>52</v>
      </c>
      <c r="X77">
        <v>100</v>
      </c>
      <c r="Y77" s="2">
        <v>1000</v>
      </c>
      <c r="Z77" t="s">
        <v>53</v>
      </c>
      <c r="AA77" s="3">
        <v>0.18</v>
      </c>
      <c r="AB77">
        <v>33051010</v>
      </c>
      <c r="AC77">
        <v>180</v>
      </c>
      <c r="AD77" t="s">
        <v>125</v>
      </c>
      <c r="AE77" t="s">
        <v>145</v>
      </c>
      <c r="AF77" t="s">
        <v>56</v>
      </c>
      <c r="AG77" t="s">
        <v>361</v>
      </c>
    </row>
    <row r="78" spans="1:33" x14ac:dyDescent="0.3">
      <c r="A78" t="s">
        <v>33</v>
      </c>
      <c r="B78" t="s">
        <v>643</v>
      </c>
      <c r="C78" s="1">
        <v>44989</v>
      </c>
      <c r="D78" s="1">
        <v>44133</v>
      </c>
      <c r="E78" t="s">
        <v>644</v>
      </c>
      <c r="F78" t="s">
        <v>645</v>
      </c>
      <c r="G78" t="s">
        <v>646</v>
      </c>
      <c r="H78" t="s">
        <v>62</v>
      </c>
      <c r="I78" t="s">
        <v>63</v>
      </c>
      <c r="J78" t="s">
        <v>151</v>
      </c>
      <c r="K78" t="s">
        <v>194</v>
      </c>
      <c r="L78" t="s">
        <v>42</v>
      </c>
      <c r="M78" t="s">
        <v>267</v>
      </c>
      <c r="N78" t="s">
        <v>268</v>
      </c>
      <c r="O78" t="s">
        <v>395</v>
      </c>
      <c r="P78" t="s">
        <v>338</v>
      </c>
      <c r="Q78" t="s">
        <v>396</v>
      </c>
      <c r="R78" t="s">
        <v>107</v>
      </c>
      <c r="S78" t="s">
        <v>49</v>
      </c>
      <c r="T78" t="s">
        <v>124</v>
      </c>
      <c r="U78" t="s">
        <v>51</v>
      </c>
      <c r="V78">
        <v>140</v>
      </c>
      <c r="W78" t="s">
        <v>52</v>
      </c>
      <c r="X78">
        <v>70</v>
      </c>
      <c r="Y78" s="2">
        <v>9800</v>
      </c>
      <c r="Z78" t="s">
        <v>53</v>
      </c>
      <c r="AA78" s="3">
        <v>0.18</v>
      </c>
      <c r="AB78">
        <v>33059090</v>
      </c>
      <c r="AC78">
        <v>1760</v>
      </c>
      <c r="AD78" t="s">
        <v>320</v>
      </c>
      <c r="AE78" t="s">
        <v>126</v>
      </c>
      <c r="AF78" t="s">
        <v>76</v>
      </c>
      <c r="AG78" t="s">
        <v>57</v>
      </c>
    </row>
    <row r="79" spans="1:33" x14ac:dyDescent="0.3">
      <c r="A79" t="s">
        <v>33</v>
      </c>
      <c r="B79" t="s">
        <v>647</v>
      </c>
      <c r="C79" s="1">
        <v>44931</v>
      </c>
      <c r="D79" s="1">
        <v>44133</v>
      </c>
      <c r="E79" t="s">
        <v>648</v>
      </c>
      <c r="F79" t="s">
        <v>649</v>
      </c>
      <c r="G79" t="s">
        <v>650</v>
      </c>
      <c r="H79" t="s">
        <v>62</v>
      </c>
      <c r="I79" t="s">
        <v>185</v>
      </c>
      <c r="J79" t="s">
        <v>474</v>
      </c>
      <c r="K79" t="s">
        <v>41</v>
      </c>
      <c r="L79" t="s">
        <v>253</v>
      </c>
      <c r="M79" t="s">
        <v>235</v>
      </c>
      <c r="N79" t="s">
        <v>236</v>
      </c>
      <c r="O79" t="s">
        <v>389</v>
      </c>
      <c r="P79" t="s">
        <v>338</v>
      </c>
      <c r="Q79" t="s">
        <v>390</v>
      </c>
      <c r="R79" t="s">
        <v>48</v>
      </c>
      <c r="S79" t="s">
        <v>71</v>
      </c>
      <c r="T79" t="s">
        <v>197</v>
      </c>
      <c r="U79" t="s">
        <v>73</v>
      </c>
      <c r="V79">
        <v>20</v>
      </c>
      <c r="W79" t="s">
        <v>52</v>
      </c>
      <c r="X79">
        <v>310</v>
      </c>
      <c r="Y79" s="2">
        <v>6200</v>
      </c>
      <c r="Z79" t="s">
        <v>53</v>
      </c>
      <c r="AA79" s="3">
        <v>0.18</v>
      </c>
      <c r="AB79">
        <v>33049930</v>
      </c>
      <c r="AC79">
        <v>1120</v>
      </c>
      <c r="AD79" t="s">
        <v>468</v>
      </c>
      <c r="AE79" t="s">
        <v>209</v>
      </c>
      <c r="AF79" t="s">
        <v>56</v>
      </c>
      <c r="AG79" t="s">
        <v>77</v>
      </c>
    </row>
    <row r="80" spans="1:33" x14ac:dyDescent="0.3">
      <c r="A80" t="s">
        <v>33</v>
      </c>
      <c r="B80" t="s">
        <v>651</v>
      </c>
      <c r="C80" s="1">
        <v>44931</v>
      </c>
      <c r="D80" s="1">
        <v>44133</v>
      </c>
      <c r="E80" t="s">
        <v>652</v>
      </c>
      <c r="F80" t="s">
        <v>653</v>
      </c>
      <c r="G80" t="s">
        <v>654</v>
      </c>
      <c r="H80" t="s">
        <v>138</v>
      </c>
      <c r="I80" t="s">
        <v>163</v>
      </c>
      <c r="J80" t="s">
        <v>139</v>
      </c>
      <c r="K80" t="s">
        <v>41</v>
      </c>
      <c r="L80" t="s">
        <v>117</v>
      </c>
      <c r="M80" t="s">
        <v>244</v>
      </c>
      <c r="N80" t="s">
        <v>282</v>
      </c>
      <c r="O80" t="s">
        <v>383</v>
      </c>
      <c r="P80" t="s">
        <v>338</v>
      </c>
      <c r="Q80" t="s">
        <v>384</v>
      </c>
      <c r="R80" t="s">
        <v>48</v>
      </c>
      <c r="S80" t="s">
        <v>123</v>
      </c>
      <c r="T80" t="s">
        <v>50</v>
      </c>
      <c r="U80" t="s">
        <v>51</v>
      </c>
      <c r="V80">
        <v>30</v>
      </c>
      <c r="W80" t="s">
        <v>52</v>
      </c>
      <c r="X80">
        <v>281</v>
      </c>
      <c r="Y80" s="2">
        <v>8430</v>
      </c>
      <c r="Z80" t="s">
        <v>53</v>
      </c>
      <c r="AA80" s="3">
        <v>0.18</v>
      </c>
      <c r="AB80">
        <v>33041000</v>
      </c>
      <c r="AC80">
        <v>1520</v>
      </c>
      <c r="AD80" t="s">
        <v>157</v>
      </c>
      <c r="AE80" t="s">
        <v>96</v>
      </c>
      <c r="AF80" t="s">
        <v>76</v>
      </c>
      <c r="AG80" t="s">
        <v>199</v>
      </c>
    </row>
    <row r="81" spans="1:33" x14ac:dyDescent="0.3">
      <c r="A81" t="s">
        <v>33</v>
      </c>
      <c r="B81" t="s">
        <v>655</v>
      </c>
      <c r="C81" s="1">
        <v>44932</v>
      </c>
      <c r="D81" s="1">
        <v>44133</v>
      </c>
      <c r="E81" t="s">
        <v>656</v>
      </c>
      <c r="F81" t="s">
        <v>657</v>
      </c>
      <c r="G81" t="s">
        <v>658</v>
      </c>
      <c r="H81" t="s">
        <v>174</v>
      </c>
      <c r="I81" t="s">
        <v>185</v>
      </c>
      <c r="J81" t="s">
        <v>89</v>
      </c>
      <c r="K81" t="s">
        <v>65</v>
      </c>
      <c r="L81" t="s">
        <v>42</v>
      </c>
      <c r="M81" t="s">
        <v>90</v>
      </c>
      <c r="N81" t="s">
        <v>214</v>
      </c>
      <c r="O81" t="s">
        <v>377</v>
      </c>
      <c r="P81" t="s">
        <v>338</v>
      </c>
      <c r="Q81" t="s">
        <v>378</v>
      </c>
      <c r="R81" t="s">
        <v>122</v>
      </c>
      <c r="S81" t="s">
        <v>49</v>
      </c>
      <c r="T81" t="s">
        <v>50</v>
      </c>
      <c r="U81" t="s">
        <v>73</v>
      </c>
      <c r="V81">
        <v>40</v>
      </c>
      <c r="W81" t="s">
        <v>52</v>
      </c>
      <c r="X81">
        <v>82</v>
      </c>
      <c r="Y81" s="2">
        <v>3260</v>
      </c>
      <c r="Z81" t="s">
        <v>53</v>
      </c>
      <c r="AA81" s="3">
        <v>0.18</v>
      </c>
      <c r="AB81">
        <v>33071010</v>
      </c>
      <c r="AC81">
        <v>590</v>
      </c>
      <c r="AD81" t="s">
        <v>95</v>
      </c>
      <c r="AE81" t="s">
        <v>55</v>
      </c>
      <c r="AF81" t="s">
        <v>109</v>
      </c>
      <c r="AG81" t="s">
        <v>127</v>
      </c>
    </row>
    <row r="82" spans="1:33" x14ac:dyDescent="0.3">
      <c r="A82" t="s">
        <v>33</v>
      </c>
      <c r="B82" t="s">
        <v>659</v>
      </c>
      <c r="C82" s="1">
        <v>44927</v>
      </c>
      <c r="D82" s="1">
        <v>44137</v>
      </c>
      <c r="E82" t="s">
        <v>660</v>
      </c>
      <c r="F82" t="s">
        <v>661</v>
      </c>
      <c r="G82" t="s">
        <v>662</v>
      </c>
      <c r="H82" t="s">
        <v>150</v>
      </c>
      <c r="I82" t="s">
        <v>39</v>
      </c>
      <c r="J82" t="s">
        <v>40</v>
      </c>
      <c r="K82" t="s">
        <v>41</v>
      </c>
      <c r="L82" t="s">
        <v>253</v>
      </c>
      <c r="M82" t="s">
        <v>153</v>
      </c>
      <c r="N82" t="s">
        <v>663</v>
      </c>
      <c r="O82" t="s">
        <v>433</v>
      </c>
      <c r="P82" t="s">
        <v>338</v>
      </c>
      <c r="Q82" t="s">
        <v>434</v>
      </c>
      <c r="R82" t="s">
        <v>122</v>
      </c>
      <c r="S82" t="s">
        <v>71</v>
      </c>
      <c r="T82" t="s">
        <v>72</v>
      </c>
      <c r="U82" t="s">
        <v>51</v>
      </c>
      <c r="V82">
        <v>30</v>
      </c>
      <c r="W82" t="s">
        <v>52</v>
      </c>
      <c r="X82" s="2">
        <v>1758</v>
      </c>
      <c r="Y82" s="2">
        <v>52730</v>
      </c>
      <c r="Z82" t="s">
        <v>53</v>
      </c>
      <c r="AA82" s="3">
        <v>0.18</v>
      </c>
      <c r="AB82">
        <v>33030050</v>
      </c>
      <c r="AC82">
        <v>9490</v>
      </c>
      <c r="AD82" t="s">
        <v>217</v>
      </c>
      <c r="AE82" t="s">
        <v>75</v>
      </c>
      <c r="AF82" t="s">
        <v>56</v>
      </c>
      <c r="AG82" t="s">
        <v>218</v>
      </c>
    </row>
    <row r="83" spans="1:33" x14ac:dyDescent="0.3">
      <c r="A83" t="s">
        <v>33</v>
      </c>
      <c r="B83" t="s">
        <v>664</v>
      </c>
      <c r="C83" s="1">
        <v>44928</v>
      </c>
      <c r="D83" s="1">
        <v>44138</v>
      </c>
      <c r="E83" t="s">
        <v>665</v>
      </c>
      <c r="F83" t="s">
        <v>666</v>
      </c>
      <c r="G83" t="s">
        <v>667</v>
      </c>
      <c r="H83" t="s">
        <v>38</v>
      </c>
      <c r="I83" t="s">
        <v>63</v>
      </c>
      <c r="J83" t="s">
        <v>64</v>
      </c>
      <c r="K83" t="s">
        <v>41</v>
      </c>
      <c r="L83" t="s">
        <v>117</v>
      </c>
      <c r="M83" t="s">
        <v>103</v>
      </c>
      <c r="N83" t="s">
        <v>475</v>
      </c>
      <c r="O83" t="s">
        <v>370</v>
      </c>
      <c r="P83" t="s">
        <v>338</v>
      </c>
      <c r="Q83" t="s">
        <v>371</v>
      </c>
      <c r="R83" t="s">
        <v>122</v>
      </c>
      <c r="S83" t="s">
        <v>123</v>
      </c>
      <c r="T83" t="s">
        <v>178</v>
      </c>
      <c r="U83" t="s">
        <v>73</v>
      </c>
      <c r="V83">
        <v>20</v>
      </c>
      <c r="W83" t="s">
        <v>52</v>
      </c>
      <c r="X83">
        <v>71</v>
      </c>
      <c r="Y83" s="2">
        <v>1430</v>
      </c>
      <c r="Z83" t="s">
        <v>53</v>
      </c>
      <c r="AA83" s="3">
        <v>0.18</v>
      </c>
      <c r="AB83">
        <v>33013091</v>
      </c>
      <c r="AC83">
        <v>260</v>
      </c>
      <c r="AD83" t="s">
        <v>108</v>
      </c>
      <c r="AE83" t="s">
        <v>180</v>
      </c>
      <c r="AF83" t="s">
        <v>76</v>
      </c>
      <c r="AG83" t="s">
        <v>158</v>
      </c>
    </row>
    <row r="84" spans="1:33" x14ac:dyDescent="0.3">
      <c r="A84" t="s">
        <v>33</v>
      </c>
      <c r="B84" t="s">
        <v>668</v>
      </c>
      <c r="C84" s="1">
        <v>44929</v>
      </c>
      <c r="D84" s="1">
        <v>44139</v>
      </c>
      <c r="E84" t="s">
        <v>669</v>
      </c>
      <c r="F84" t="s">
        <v>670</v>
      </c>
      <c r="G84" t="s">
        <v>671</v>
      </c>
      <c r="H84" t="s">
        <v>62</v>
      </c>
      <c r="I84" t="s">
        <v>163</v>
      </c>
      <c r="J84" t="s">
        <v>358</v>
      </c>
      <c r="K84" t="s">
        <v>41</v>
      </c>
      <c r="L84" t="s">
        <v>187</v>
      </c>
      <c r="M84" t="s">
        <v>164</v>
      </c>
      <c r="N84" t="s">
        <v>165</v>
      </c>
      <c r="O84" t="s">
        <v>427</v>
      </c>
      <c r="P84" t="s">
        <v>338</v>
      </c>
      <c r="Q84" t="s">
        <v>428</v>
      </c>
      <c r="R84" t="s">
        <v>48</v>
      </c>
      <c r="S84" t="s">
        <v>188</v>
      </c>
      <c r="T84" t="s">
        <v>124</v>
      </c>
      <c r="U84" t="s">
        <v>144</v>
      </c>
      <c r="V84">
        <v>20</v>
      </c>
      <c r="W84" t="s">
        <v>52</v>
      </c>
      <c r="X84" s="2">
        <v>20900</v>
      </c>
      <c r="Y84" s="2">
        <v>418000</v>
      </c>
      <c r="Z84" t="s">
        <v>53</v>
      </c>
      <c r="AA84" s="3">
        <v>0.18</v>
      </c>
      <c r="AB84">
        <v>33012948</v>
      </c>
      <c r="AC84">
        <v>75240</v>
      </c>
      <c r="AD84" t="s">
        <v>179</v>
      </c>
      <c r="AE84" t="s">
        <v>145</v>
      </c>
      <c r="AF84" t="s">
        <v>109</v>
      </c>
      <c r="AG84" t="s">
        <v>97</v>
      </c>
    </row>
    <row r="85" spans="1:33" x14ac:dyDescent="0.3">
      <c r="A85" t="s">
        <v>33</v>
      </c>
      <c r="B85" t="s">
        <v>672</v>
      </c>
      <c r="C85" s="1">
        <v>44930</v>
      </c>
      <c r="D85" s="1">
        <v>44140</v>
      </c>
      <c r="E85" t="s">
        <v>673</v>
      </c>
      <c r="F85" t="s">
        <v>674</v>
      </c>
      <c r="G85" t="s">
        <v>675</v>
      </c>
      <c r="H85" t="s">
        <v>138</v>
      </c>
      <c r="I85" t="s">
        <v>175</v>
      </c>
      <c r="J85" t="s">
        <v>151</v>
      </c>
      <c r="K85" t="s">
        <v>65</v>
      </c>
      <c r="L85" t="s">
        <v>42</v>
      </c>
      <c r="M85" t="s">
        <v>176</v>
      </c>
      <c r="N85" t="s">
        <v>594</v>
      </c>
      <c r="O85" t="s">
        <v>405</v>
      </c>
      <c r="P85" t="s">
        <v>338</v>
      </c>
      <c r="Q85" t="s">
        <v>406</v>
      </c>
      <c r="R85" t="s">
        <v>70</v>
      </c>
      <c r="S85" t="s">
        <v>49</v>
      </c>
      <c r="T85" t="s">
        <v>197</v>
      </c>
      <c r="U85" t="s">
        <v>168</v>
      </c>
      <c r="V85">
        <v>10</v>
      </c>
      <c r="W85" t="s">
        <v>52</v>
      </c>
      <c r="X85" s="2">
        <v>75000</v>
      </c>
      <c r="Y85" s="2">
        <v>750000</v>
      </c>
      <c r="Z85" t="s">
        <v>53</v>
      </c>
      <c r="AA85" s="3">
        <v>0.18</v>
      </c>
      <c r="AB85">
        <v>33013091</v>
      </c>
      <c r="AC85">
        <v>135000</v>
      </c>
      <c r="AD85" t="s">
        <v>189</v>
      </c>
      <c r="AE85" t="s">
        <v>126</v>
      </c>
      <c r="AF85" t="s">
        <v>56</v>
      </c>
      <c r="AG85" t="s">
        <v>361</v>
      </c>
    </row>
    <row r="86" spans="1:33" x14ac:dyDescent="0.3">
      <c r="A86" t="s">
        <v>33</v>
      </c>
      <c r="B86" t="s">
        <v>676</v>
      </c>
      <c r="C86" s="1">
        <v>44931</v>
      </c>
      <c r="D86" s="1">
        <v>44141</v>
      </c>
      <c r="E86" t="s">
        <v>677</v>
      </c>
      <c r="F86" t="s">
        <v>678</v>
      </c>
      <c r="G86" t="s">
        <v>679</v>
      </c>
      <c r="H86" t="s">
        <v>174</v>
      </c>
      <c r="I86" t="s">
        <v>185</v>
      </c>
      <c r="J86" t="s">
        <v>474</v>
      </c>
      <c r="K86" t="s">
        <v>41</v>
      </c>
      <c r="L86" t="s">
        <v>253</v>
      </c>
      <c r="M86" t="s">
        <v>118</v>
      </c>
      <c r="N86" t="s">
        <v>119</v>
      </c>
      <c r="O86" t="s">
        <v>403</v>
      </c>
      <c r="P86" t="s">
        <v>338</v>
      </c>
      <c r="Q86" t="s">
        <v>404</v>
      </c>
      <c r="R86" t="s">
        <v>70</v>
      </c>
      <c r="S86" t="s">
        <v>71</v>
      </c>
      <c r="T86" t="s">
        <v>50</v>
      </c>
      <c r="U86" t="s">
        <v>51</v>
      </c>
      <c r="V86">
        <v>20</v>
      </c>
      <c r="W86" t="s">
        <v>52</v>
      </c>
      <c r="X86" s="2">
        <v>6550</v>
      </c>
      <c r="Y86" s="2">
        <v>131000</v>
      </c>
      <c r="Z86" t="s">
        <v>53</v>
      </c>
      <c r="AA86" s="3">
        <v>0.18</v>
      </c>
      <c r="AB86">
        <v>33012948</v>
      </c>
      <c r="AC86">
        <v>23580</v>
      </c>
      <c r="AD86" t="s">
        <v>157</v>
      </c>
      <c r="AE86" t="s">
        <v>180</v>
      </c>
      <c r="AF86" t="s">
        <v>76</v>
      </c>
      <c r="AG86" t="s">
        <v>57</v>
      </c>
    </row>
    <row r="87" spans="1:33" x14ac:dyDescent="0.3">
      <c r="A87" t="s">
        <v>33</v>
      </c>
      <c r="B87" t="s">
        <v>680</v>
      </c>
      <c r="C87" s="1">
        <v>44929</v>
      </c>
      <c r="D87" s="1">
        <v>44144</v>
      </c>
      <c r="E87" t="s">
        <v>681</v>
      </c>
      <c r="F87" t="s">
        <v>682</v>
      </c>
      <c r="G87" t="s">
        <v>683</v>
      </c>
      <c r="H87" t="s">
        <v>62</v>
      </c>
      <c r="I87" t="s">
        <v>163</v>
      </c>
      <c r="J87" t="s">
        <v>186</v>
      </c>
      <c r="K87" t="s">
        <v>41</v>
      </c>
      <c r="L87" t="s">
        <v>152</v>
      </c>
      <c r="M87" t="s">
        <v>684</v>
      </c>
      <c r="N87" t="s">
        <v>685</v>
      </c>
      <c r="O87" t="s">
        <v>442</v>
      </c>
      <c r="P87" t="s">
        <v>46</v>
      </c>
      <c r="Q87" t="s">
        <v>443</v>
      </c>
      <c r="R87" t="s">
        <v>70</v>
      </c>
      <c r="S87" t="s">
        <v>155</v>
      </c>
      <c r="T87" t="s">
        <v>50</v>
      </c>
      <c r="U87" t="s">
        <v>168</v>
      </c>
      <c r="V87">
        <v>20</v>
      </c>
      <c r="W87" t="s">
        <v>52</v>
      </c>
      <c r="X87" s="2">
        <v>5700</v>
      </c>
      <c r="Y87" s="2">
        <v>114000</v>
      </c>
      <c r="Z87" t="s">
        <v>53</v>
      </c>
      <c r="AA87" s="3">
        <v>0.18</v>
      </c>
      <c r="AB87">
        <v>33049930</v>
      </c>
      <c r="AC87">
        <v>20520</v>
      </c>
      <c r="AD87" t="s">
        <v>108</v>
      </c>
      <c r="AE87" t="s">
        <v>209</v>
      </c>
      <c r="AF87" t="s">
        <v>56</v>
      </c>
      <c r="AG87" t="s">
        <v>127</v>
      </c>
    </row>
    <row r="88" spans="1:33" x14ac:dyDescent="0.3">
      <c r="A88" t="s">
        <v>33</v>
      </c>
      <c r="B88" t="s">
        <v>686</v>
      </c>
      <c r="C88" s="1">
        <v>44934</v>
      </c>
      <c r="D88" s="1">
        <v>44144</v>
      </c>
      <c r="E88" t="s">
        <v>687</v>
      </c>
      <c r="F88" t="s">
        <v>688</v>
      </c>
      <c r="G88" t="s">
        <v>689</v>
      </c>
      <c r="H88" t="s">
        <v>138</v>
      </c>
      <c r="I88" t="s">
        <v>163</v>
      </c>
      <c r="J88" t="s">
        <v>40</v>
      </c>
      <c r="K88" t="s">
        <v>65</v>
      </c>
      <c r="L88" t="s">
        <v>42</v>
      </c>
      <c r="M88" t="s">
        <v>90</v>
      </c>
      <c r="N88" t="s">
        <v>214</v>
      </c>
      <c r="O88" t="s">
        <v>444</v>
      </c>
      <c r="P88" t="s">
        <v>46</v>
      </c>
      <c r="Q88" t="s">
        <v>445</v>
      </c>
      <c r="R88" t="s">
        <v>94</v>
      </c>
      <c r="S88" t="s">
        <v>49</v>
      </c>
      <c r="T88" t="s">
        <v>72</v>
      </c>
      <c r="U88" t="s">
        <v>51</v>
      </c>
      <c r="V88">
        <v>210</v>
      </c>
      <c r="W88" t="s">
        <v>52</v>
      </c>
      <c r="X88">
        <v>110</v>
      </c>
      <c r="Y88" s="2">
        <v>23140</v>
      </c>
      <c r="Z88" t="s">
        <v>53</v>
      </c>
      <c r="AA88" s="3">
        <v>0.18</v>
      </c>
      <c r="AB88">
        <v>33041000</v>
      </c>
      <c r="AC88">
        <v>4160</v>
      </c>
      <c r="AD88" t="s">
        <v>179</v>
      </c>
      <c r="AE88" t="s">
        <v>96</v>
      </c>
      <c r="AF88" t="s">
        <v>76</v>
      </c>
      <c r="AG88" t="s">
        <v>57</v>
      </c>
    </row>
    <row r="89" spans="1:33" x14ac:dyDescent="0.3">
      <c r="A89" t="s">
        <v>33</v>
      </c>
      <c r="B89" t="s">
        <v>690</v>
      </c>
      <c r="C89" s="1">
        <v>44934</v>
      </c>
      <c r="D89" s="1">
        <v>44144</v>
      </c>
      <c r="E89" t="s">
        <v>691</v>
      </c>
      <c r="F89" t="s">
        <v>692</v>
      </c>
      <c r="G89" t="s">
        <v>693</v>
      </c>
      <c r="H89" t="s">
        <v>174</v>
      </c>
      <c r="I89" t="s">
        <v>63</v>
      </c>
      <c r="J89" t="s">
        <v>64</v>
      </c>
      <c r="K89" t="s">
        <v>41</v>
      </c>
      <c r="L89" t="s">
        <v>253</v>
      </c>
      <c r="M89" t="s">
        <v>694</v>
      </c>
      <c r="N89" t="s">
        <v>695</v>
      </c>
      <c r="O89" t="s">
        <v>414</v>
      </c>
      <c r="P89" t="s">
        <v>46</v>
      </c>
      <c r="Q89" t="s">
        <v>415</v>
      </c>
      <c r="R89" t="s">
        <v>107</v>
      </c>
      <c r="S89" t="s">
        <v>71</v>
      </c>
      <c r="T89" t="s">
        <v>178</v>
      </c>
      <c r="U89" t="s">
        <v>73</v>
      </c>
      <c r="V89">
        <v>20</v>
      </c>
      <c r="W89" t="s">
        <v>52</v>
      </c>
      <c r="X89" s="2">
        <v>6195</v>
      </c>
      <c r="Y89" s="2">
        <v>123900</v>
      </c>
      <c r="Z89" t="s">
        <v>53</v>
      </c>
      <c r="AA89" s="3">
        <v>0.18</v>
      </c>
      <c r="AB89">
        <v>33071010</v>
      </c>
      <c r="AC89">
        <v>22300</v>
      </c>
      <c r="AD89" t="s">
        <v>189</v>
      </c>
      <c r="AE89" t="s">
        <v>55</v>
      </c>
      <c r="AF89" t="s">
        <v>109</v>
      </c>
      <c r="AG89" t="s">
        <v>77</v>
      </c>
    </row>
    <row r="90" spans="1:33" x14ac:dyDescent="0.3">
      <c r="A90" t="s">
        <v>33</v>
      </c>
      <c r="B90" t="s">
        <v>696</v>
      </c>
      <c r="C90" s="1">
        <v>44938</v>
      </c>
      <c r="D90" s="1">
        <v>44148</v>
      </c>
      <c r="E90" t="s">
        <v>697</v>
      </c>
      <c r="F90" t="s">
        <v>698</v>
      </c>
      <c r="G90" t="s">
        <v>699</v>
      </c>
      <c r="H90" t="s">
        <v>38</v>
      </c>
      <c r="I90" t="s">
        <v>39</v>
      </c>
      <c r="J90" t="s">
        <v>151</v>
      </c>
      <c r="K90" t="s">
        <v>194</v>
      </c>
      <c r="L90" t="s">
        <v>187</v>
      </c>
      <c r="M90" t="s">
        <v>66</v>
      </c>
      <c r="N90" t="s">
        <v>638</v>
      </c>
      <c r="O90" t="s">
        <v>464</v>
      </c>
      <c r="P90" t="s">
        <v>46</v>
      </c>
      <c r="Q90" t="s">
        <v>465</v>
      </c>
      <c r="R90" t="s">
        <v>48</v>
      </c>
      <c r="S90" t="s">
        <v>188</v>
      </c>
      <c r="T90" t="s">
        <v>197</v>
      </c>
      <c r="U90" t="s">
        <v>51</v>
      </c>
      <c r="V90">
        <v>180</v>
      </c>
      <c r="W90" t="s">
        <v>52</v>
      </c>
      <c r="X90">
        <v>220</v>
      </c>
      <c r="Y90" s="2">
        <v>39600</v>
      </c>
      <c r="Z90" t="s">
        <v>53</v>
      </c>
      <c r="AA90" s="3">
        <v>0.18</v>
      </c>
      <c r="AB90">
        <v>33051010</v>
      </c>
      <c r="AC90">
        <v>7130</v>
      </c>
      <c r="AD90" t="s">
        <v>95</v>
      </c>
      <c r="AE90" t="s">
        <v>180</v>
      </c>
      <c r="AF90" t="s">
        <v>56</v>
      </c>
      <c r="AG90" t="s">
        <v>127</v>
      </c>
    </row>
    <row r="91" spans="1:33" x14ac:dyDescent="0.3">
      <c r="A91" t="s">
        <v>33</v>
      </c>
      <c r="B91" t="s">
        <v>700</v>
      </c>
      <c r="C91" s="1">
        <v>44945</v>
      </c>
      <c r="D91" s="1">
        <v>44149</v>
      </c>
      <c r="E91" t="s">
        <v>701</v>
      </c>
      <c r="F91" t="s">
        <v>702</v>
      </c>
      <c r="G91" t="s">
        <v>703</v>
      </c>
      <c r="H91" t="s">
        <v>174</v>
      </c>
      <c r="I91" t="s">
        <v>175</v>
      </c>
      <c r="J91" t="s">
        <v>89</v>
      </c>
      <c r="K91" t="s">
        <v>65</v>
      </c>
      <c r="L91" t="s">
        <v>117</v>
      </c>
      <c r="M91" t="s">
        <v>235</v>
      </c>
      <c r="N91" t="s">
        <v>236</v>
      </c>
      <c r="O91" t="s">
        <v>45</v>
      </c>
      <c r="P91" t="s">
        <v>46</v>
      </c>
      <c r="Q91" t="s">
        <v>47</v>
      </c>
      <c r="R91" t="s">
        <v>70</v>
      </c>
      <c r="S91" t="s">
        <v>123</v>
      </c>
      <c r="T91" t="s">
        <v>72</v>
      </c>
      <c r="U91" t="s">
        <v>73</v>
      </c>
      <c r="V91">
        <v>30</v>
      </c>
      <c r="W91" t="s">
        <v>52</v>
      </c>
      <c r="X91">
        <v>146</v>
      </c>
      <c r="Y91" s="2">
        <v>4390</v>
      </c>
      <c r="Z91" t="s">
        <v>53</v>
      </c>
      <c r="AA91" s="3">
        <v>0.18</v>
      </c>
      <c r="AB91">
        <v>33041000</v>
      </c>
      <c r="AC91">
        <v>790</v>
      </c>
      <c r="AD91" t="s">
        <v>179</v>
      </c>
      <c r="AE91" t="s">
        <v>209</v>
      </c>
      <c r="AF91" t="s">
        <v>109</v>
      </c>
      <c r="AG91" t="s">
        <v>97</v>
      </c>
    </row>
    <row r="92" spans="1:33" x14ac:dyDescent="0.3">
      <c r="A92" t="s">
        <v>33</v>
      </c>
      <c r="B92" t="s">
        <v>704</v>
      </c>
      <c r="C92" s="1">
        <v>44927</v>
      </c>
      <c r="D92" s="1">
        <v>44152</v>
      </c>
      <c r="E92" t="s">
        <v>705</v>
      </c>
      <c r="F92" t="s">
        <v>706</v>
      </c>
      <c r="G92" t="s">
        <v>707</v>
      </c>
      <c r="H92" t="s">
        <v>38</v>
      </c>
      <c r="I92" t="s">
        <v>39</v>
      </c>
      <c r="J92" t="s">
        <v>102</v>
      </c>
      <c r="K92" t="s">
        <v>65</v>
      </c>
      <c r="L92" t="s">
        <v>152</v>
      </c>
      <c r="M92" t="s">
        <v>90</v>
      </c>
      <c r="N92" t="s">
        <v>214</v>
      </c>
      <c r="O92" t="s">
        <v>68</v>
      </c>
      <c r="P92" t="s">
        <v>46</v>
      </c>
      <c r="Q92" t="s">
        <v>69</v>
      </c>
      <c r="R92" t="s">
        <v>70</v>
      </c>
      <c r="S92" t="s">
        <v>155</v>
      </c>
      <c r="T92" t="s">
        <v>124</v>
      </c>
      <c r="U92" t="s">
        <v>73</v>
      </c>
      <c r="V92">
        <v>10</v>
      </c>
      <c r="W92" t="s">
        <v>52</v>
      </c>
      <c r="X92">
        <v>170</v>
      </c>
      <c r="Y92" s="2">
        <v>1700</v>
      </c>
      <c r="Z92" t="s">
        <v>53</v>
      </c>
      <c r="AA92" s="3">
        <v>0.18</v>
      </c>
      <c r="AB92">
        <v>33030050</v>
      </c>
      <c r="AC92">
        <v>310</v>
      </c>
      <c r="AD92" t="s">
        <v>54</v>
      </c>
      <c r="AE92" t="s">
        <v>55</v>
      </c>
      <c r="AF92" t="s">
        <v>109</v>
      </c>
      <c r="AG92" t="s">
        <v>57</v>
      </c>
    </row>
    <row r="93" spans="1:33" x14ac:dyDescent="0.3">
      <c r="A93" t="s">
        <v>33</v>
      </c>
      <c r="B93" t="s">
        <v>708</v>
      </c>
      <c r="C93" s="1">
        <v>44948</v>
      </c>
      <c r="D93" s="1">
        <v>44152</v>
      </c>
      <c r="E93" t="s">
        <v>709</v>
      </c>
      <c r="F93" t="s">
        <v>710</v>
      </c>
      <c r="G93" t="s">
        <v>711</v>
      </c>
      <c r="H93" t="s">
        <v>138</v>
      </c>
      <c r="I93" t="s">
        <v>39</v>
      </c>
      <c r="J93" t="s">
        <v>243</v>
      </c>
      <c r="K93" t="s">
        <v>41</v>
      </c>
      <c r="L93" t="s">
        <v>42</v>
      </c>
      <c r="M93" t="s">
        <v>103</v>
      </c>
      <c r="N93" t="s">
        <v>254</v>
      </c>
      <c r="O93" t="s">
        <v>237</v>
      </c>
      <c r="P93" t="s">
        <v>46</v>
      </c>
      <c r="Q93" t="s">
        <v>238</v>
      </c>
      <c r="R93" t="s">
        <v>70</v>
      </c>
      <c r="S93" t="s">
        <v>49</v>
      </c>
      <c r="T93" t="s">
        <v>72</v>
      </c>
      <c r="U93" t="s">
        <v>168</v>
      </c>
      <c r="V93">
        <v>10</v>
      </c>
      <c r="W93" t="s">
        <v>52</v>
      </c>
      <c r="X93" s="2">
        <v>3600</v>
      </c>
      <c r="Y93" s="2">
        <v>36000</v>
      </c>
      <c r="Z93" t="s">
        <v>53</v>
      </c>
      <c r="AA93" s="3">
        <v>0.18</v>
      </c>
      <c r="AB93">
        <v>33012948</v>
      </c>
      <c r="AC93">
        <v>6480</v>
      </c>
      <c r="AD93" t="s">
        <v>125</v>
      </c>
      <c r="AE93" t="s">
        <v>180</v>
      </c>
      <c r="AF93" t="s">
        <v>76</v>
      </c>
      <c r="AG93" t="s">
        <v>199</v>
      </c>
    </row>
    <row r="94" spans="1:33" x14ac:dyDescent="0.3">
      <c r="A94" t="s">
        <v>33</v>
      </c>
      <c r="B94" t="s">
        <v>712</v>
      </c>
      <c r="C94" s="1">
        <v>44952</v>
      </c>
      <c r="D94" s="1">
        <v>44156</v>
      </c>
      <c r="E94" t="s">
        <v>713</v>
      </c>
      <c r="F94" t="s">
        <v>714</v>
      </c>
      <c r="G94" t="s">
        <v>715</v>
      </c>
      <c r="H94" t="s">
        <v>174</v>
      </c>
      <c r="I94" t="s">
        <v>63</v>
      </c>
      <c r="J94" t="s">
        <v>116</v>
      </c>
      <c r="K94" t="s">
        <v>65</v>
      </c>
      <c r="L94" t="s">
        <v>42</v>
      </c>
      <c r="M94" t="s">
        <v>164</v>
      </c>
      <c r="N94" t="s">
        <v>165</v>
      </c>
      <c r="O94" t="s">
        <v>105</v>
      </c>
      <c r="P94" t="s">
        <v>79</v>
      </c>
      <c r="Q94" t="s">
        <v>106</v>
      </c>
      <c r="R94" t="s">
        <v>94</v>
      </c>
      <c r="S94" t="s">
        <v>49</v>
      </c>
      <c r="T94" t="s">
        <v>178</v>
      </c>
      <c r="U94" t="s">
        <v>51</v>
      </c>
      <c r="V94">
        <v>10</v>
      </c>
      <c r="W94" t="s">
        <v>716</v>
      </c>
      <c r="X94" s="2">
        <v>3600</v>
      </c>
      <c r="Y94" s="2">
        <v>36000</v>
      </c>
      <c r="Z94" t="s">
        <v>53</v>
      </c>
      <c r="AA94" s="3">
        <v>0.18</v>
      </c>
      <c r="AB94">
        <v>33013091</v>
      </c>
      <c r="AC94">
        <v>6480</v>
      </c>
      <c r="AD94" t="s">
        <v>320</v>
      </c>
      <c r="AE94" t="s">
        <v>145</v>
      </c>
      <c r="AF94" t="s">
        <v>76</v>
      </c>
      <c r="AG94" t="s">
        <v>127</v>
      </c>
    </row>
    <row r="95" spans="1:33" x14ac:dyDescent="0.3">
      <c r="A95" t="s">
        <v>33</v>
      </c>
      <c r="B95" t="s">
        <v>717</v>
      </c>
      <c r="C95" s="1">
        <v>44971</v>
      </c>
      <c r="D95" s="1">
        <v>44175</v>
      </c>
      <c r="E95" t="s">
        <v>718</v>
      </c>
      <c r="F95" t="s">
        <v>719</v>
      </c>
      <c r="G95" t="s">
        <v>720</v>
      </c>
      <c r="H95" t="s">
        <v>138</v>
      </c>
      <c r="I95" t="s">
        <v>163</v>
      </c>
      <c r="J95" t="s">
        <v>151</v>
      </c>
      <c r="K95" t="s">
        <v>41</v>
      </c>
      <c r="L95" t="s">
        <v>42</v>
      </c>
      <c r="M95" t="s">
        <v>153</v>
      </c>
      <c r="N95" t="s">
        <v>663</v>
      </c>
      <c r="O95" t="s">
        <v>81</v>
      </c>
      <c r="P95" t="s">
        <v>46</v>
      </c>
      <c r="Q95" t="s">
        <v>82</v>
      </c>
      <c r="R95" t="s">
        <v>94</v>
      </c>
      <c r="S95" t="s">
        <v>49</v>
      </c>
      <c r="T95" t="s">
        <v>197</v>
      </c>
      <c r="U95" t="s">
        <v>73</v>
      </c>
      <c r="V95">
        <v>10</v>
      </c>
      <c r="W95" t="s">
        <v>52</v>
      </c>
      <c r="X95">
        <v>810</v>
      </c>
      <c r="Y95" s="2">
        <v>8100</v>
      </c>
      <c r="Z95" t="s">
        <v>53</v>
      </c>
      <c r="AA95" s="3">
        <v>0.18</v>
      </c>
      <c r="AB95">
        <v>33049930</v>
      </c>
      <c r="AC95">
        <v>1460</v>
      </c>
      <c r="AD95" t="s">
        <v>125</v>
      </c>
      <c r="AE95" t="s">
        <v>145</v>
      </c>
      <c r="AF95" t="s">
        <v>56</v>
      </c>
      <c r="AG95" t="s">
        <v>77</v>
      </c>
    </row>
    <row r="96" spans="1:33" x14ac:dyDescent="0.3">
      <c r="A96" t="s">
        <v>33</v>
      </c>
      <c r="B96" t="s">
        <v>721</v>
      </c>
      <c r="C96" s="1">
        <v>44972</v>
      </c>
      <c r="D96" s="1">
        <v>44176</v>
      </c>
      <c r="E96" t="s">
        <v>722</v>
      </c>
      <c r="F96" t="s">
        <v>723</v>
      </c>
      <c r="G96" t="s">
        <v>724</v>
      </c>
      <c r="H96" t="s">
        <v>174</v>
      </c>
      <c r="I96" t="s">
        <v>175</v>
      </c>
      <c r="J96" t="s">
        <v>474</v>
      </c>
      <c r="K96" t="s">
        <v>65</v>
      </c>
      <c r="L96" t="s">
        <v>253</v>
      </c>
      <c r="M96" t="s">
        <v>153</v>
      </c>
      <c r="N96" t="s">
        <v>154</v>
      </c>
      <c r="O96" t="s">
        <v>83</v>
      </c>
      <c r="P96" t="s">
        <v>46</v>
      </c>
      <c r="Q96" t="s">
        <v>84</v>
      </c>
      <c r="R96" t="s">
        <v>107</v>
      </c>
      <c r="S96" t="s">
        <v>71</v>
      </c>
      <c r="T96" t="s">
        <v>208</v>
      </c>
      <c r="U96" t="s">
        <v>51</v>
      </c>
      <c r="V96">
        <v>10</v>
      </c>
      <c r="W96" t="s">
        <v>52</v>
      </c>
      <c r="X96" s="2">
        <v>1615</v>
      </c>
      <c r="Y96" s="2">
        <v>16150</v>
      </c>
      <c r="Z96" t="s">
        <v>53</v>
      </c>
      <c r="AA96" s="3">
        <v>0.18</v>
      </c>
      <c r="AB96">
        <v>33041000</v>
      </c>
      <c r="AC96">
        <v>2910</v>
      </c>
      <c r="AD96" t="s">
        <v>320</v>
      </c>
      <c r="AE96" t="s">
        <v>126</v>
      </c>
      <c r="AF96" t="s">
        <v>76</v>
      </c>
      <c r="AG96" t="s">
        <v>199</v>
      </c>
    </row>
    <row r="97" spans="1:33" x14ac:dyDescent="0.3">
      <c r="A97" t="s">
        <v>33</v>
      </c>
      <c r="B97" t="s">
        <v>725</v>
      </c>
      <c r="C97" s="1">
        <v>44973</v>
      </c>
      <c r="D97" s="1">
        <v>44177</v>
      </c>
      <c r="E97" t="s">
        <v>726</v>
      </c>
      <c r="F97" t="s">
        <v>727</v>
      </c>
      <c r="G97" t="s">
        <v>728</v>
      </c>
      <c r="H97" t="s">
        <v>150</v>
      </c>
      <c r="I97" t="s">
        <v>185</v>
      </c>
      <c r="J97" t="s">
        <v>139</v>
      </c>
      <c r="K97" t="s">
        <v>41</v>
      </c>
      <c r="L97" t="s">
        <v>117</v>
      </c>
      <c r="M97" t="s">
        <v>153</v>
      </c>
      <c r="N97" t="s">
        <v>154</v>
      </c>
      <c r="O97" t="s">
        <v>206</v>
      </c>
      <c r="P97" t="s">
        <v>46</v>
      </c>
      <c r="Q97" t="s">
        <v>207</v>
      </c>
      <c r="R97" t="s">
        <v>107</v>
      </c>
      <c r="S97" t="s">
        <v>123</v>
      </c>
      <c r="T97" t="s">
        <v>50</v>
      </c>
      <c r="U97" t="s">
        <v>51</v>
      </c>
      <c r="V97">
        <v>10</v>
      </c>
      <c r="W97" t="s">
        <v>52</v>
      </c>
      <c r="X97">
        <v>764</v>
      </c>
      <c r="Y97" s="2">
        <v>7640</v>
      </c>
      <c r="Z97" t="s">
        <v>53</v>
      </c>
      <c r="AA97" s="3">
        <v>0.18</v>
      </c>
      <c r="AB97">
        <v>33071010</v>
      </c>
      <c r="AC97">
        <v>1380</v>
      </c>
      <c r="AD97" t="s">
        <v>468</v>
      </c>
      <c r="AE97" t="s">
        <v>209</v>
      </c>
      <c r="AF97" t="s">
        <v>109</v>
      </c>
      <c r="AG97" t="s">
        <v>127</v>
      </c>
    </row>
    <row r="98" spans="1:33" x14ac:dyDescent="0.3">
      <c r="A98" t="s">
        <v>33</v>
      </c>
      <c r="B98" t="s">
        <v>729</v>
      </c>
      <c r="C98" s="1">
        <v>44974</v>
      </c>
      <c r="D98" s="1">
        <v>44178</v>
      </c>
      <c r="E98" t="s">
        <v>730</v>
      </c>
      <c r="F98" t="s">
        <v>731</v>
      </c>
      <c r="G98" t="s">
        <v>732</v>
      </c>
      <c r="H98" t="s">
        <v>38</v>
      </c>
      <c r="I98" t="s">
        <v>185</v>
      </c>
      <c r="J98" t="s">
        <v>89</v>
      </c>
      <c r="K98" t="s">
        <v>41</v>
      </c>
      <c r="L98" t="s">
        <v>187</v>
      </c>
      <c r="M98" t="s">
        <v>153</v>
      </c>
      <c r="N98" t="s">
        <v>154</v>
      </c>
      <c r="O98" t="s">
        <v>128</v>
      </c>
      <c r="P98" t="s">
        <v>79</v>
      </c>
      <c r="Q98" t="s">
        <v>129</v>
      </c>
      <c r="R98" t="s">
        <v>48</v>
      </c>
      <c r="S98" t="s">
        <v>188</v>
      </c>
      <c r="T98" t="s">
        <v>50</v>
      </c>
      <c r="U98" t="s">
        <v>73</v>
      </c>
      <c r="V98">
        <v>10</v>
      </c>
      <c r="W98" t="s">
        <v>52</v>
      </c>
      <c r="X98" s="2">
        <v>18620</v>
      </c>
      <c r="Y98" s="2">
        <v>186200</v>
      </c>
      <c r="Z98" t="s">
        <v>53</v>
      </c>
      <c r="AA98" s="3">
        <v>0.18</v>
      </c>
      <c r="AB98">
        <v>33030050</v>
      </c>
      <c r="AC98">
        <v>33520</v>
      </c>
      <c r="AD98" t="s">
        <v>157</v>
      </c>
      <c r="AE98" t="s">
        <v>55</v>
      </c>
      <c r="AF98" t="s">
        <v>56</v>
      </c>
      <c r="AG98" t="s">
        <v>218</v>
      </c>
    </row>
    <row r="99" spans="1:33" x14ac:dyDescent="0.3">
      <c r="A99" t="s">
        <v>733</v>
      </c>
      <c r="B99" t="s">
        <v>734</v>
      </c>
      <c r="C99" s="1">
        <v>45041</v>
      </c>
      <c r="D99" s="1">
        <v>44244</v>
      </c>
      <c r="E99" t="s">
        <v>735</v>
      </c>
      <c r="F99" t="s">
        <v>736</v>
      </c>
      <c r="G99" t="s">
        <v>737</v>
      </c>
      <c r="H99" t="s">
        <v>174</v>
      </c>
      <c r="I99" t="s">
        <v>185</v>
      </c>
      <c r="J99" t="s">
        <v>358</v>
      </c>
      <c r="K99" t="s">
        <v>41</v>
      </c>
      <c r="L99" t="s">
        <v>187</v>
      </c>
      <c r="M99" t="s">
        <v>90</v>
      </c>
      <c r="N99" t="s">
        <v>91</v>
      </c>
      <c r="O99" t="s">
        <v>81</v>
      </c>
      <c r="P99" t="s">
        <v>46</v>
      </c>
      <c r="Q99" t="s">
        <v>82</v>
      </c>
      <c r="R99" t="s">
        <v>48</v>
      </c>
      <c r="S99" t="s">
        <v>188</v>
      </c>
      <c r="T99" t="s">
        <v>197</v>
      </c>
      <c r="U99" t="s">
        <v>73</v>
      </c>
      <c r="V99">
        <v>30</v>
      </c>
      <c r="W99" t="s">
        <v>52</v>
      </c>
      <c r="X99" s="2">
        <v>1200</v>
      </c>
      <c r="Y99" s="2">
        <v>36000</v>
      </c>
      <c r="Z99" t="s">
        <v>53</v>
      </c>
      <c r="AA99" s="3">
        <v>0.18</v>
      </c>
      <c r="AB99">
        <v>33049930</v>
      </c>
      <c r="AC99">
        <v>6480</v>
      </c>
      <c r="AD99" t="s">
        <v>217</v>
      </c>
      <c r="AE99" t="s">
        <v>75</v>
      </c>
      <c r="AF99" t="s">
        <v>109</v>
      </c>
      <c r="AG99" t="s">
        <v>199</v>
      </c>
    </row>
    <row r="100" spans="1:33" x14ac:dyDescent="0.3">
      <c r="A100" t="s">
        <v>733</v>
      </c>
      <c r="B100" t="s">
        <v>738</v>
      </c>
      <c r="C100" s="1">
        <v>45042</v>
      </c>
      <c r="D100" s="1">
        <v>44244</v>
      </c>
      <c r="E100" t="s">
        <v>739</v>
      </c>
      <c r="F100" t="s">
        <v>148</v>
      </c>
      <c r="G100" t="s">
        <v>149</v>
      </c>
      <c r="H100" t="s">
        <v>150</v>
      </c>
      <c r="I100" t="s">
        <v>39</v>
      </c>
      <c r="J100" t="s">
        <v>151</v>
      </c>
      <c r="K100" t="s">
        <v>65</v>
      </c>
      <c r="L100" t="s">
        <v>152</v>
      </c>
      <c r="M100" t="s">
        <v>153</v>
      </c>
      <c r="N100" t="s">
        <v>154</v>
      </c>
      <c r="O100" t="s">
        <v>78</v>
      </c>
      <c r="P100" t="s">
        <v>79</v>
      </c>
      <c r="Q100" t="s">
        <v>80</v>
      </c>
      <c r="R100" t="s">
        <v>70</v>
      </c>
      <c r="S100" t="s">
        <v>155</v>
      </c>
      <c r="T100" t="s">
        <v>50</v>
      </c>
      <c r="U100" t="s">
        <v>51</v>
      </c>
      <c r="V100">
        <v>20</v>
      </c>
      <c r="W100" t="s">
        <v>52</v>
      </c>
      <c r="X100">
        <v>700</v>
      </c>
      <c r="Y100" s="2">
        <v>14000</v>
      </c>
      <c r="Z100" t="s">
        <v>53</v>
      </c>
      <c r="AA100" s="3">
        <v>0.18</v>
      </c>
      <c r="AB100">
        <v>33051010</v>
      </c>
      <c r="AC100">
        <v>2520</v>
      </c>
      <c r="AD100" t="s">
        <v>217</v>
      </c>
      <c r="AE100" t="s">
        <v>180</v>
      </c>
      <c r="AF100" t="s">
        <v>109</v>
      </c>
      <c r="AG100" t="s">
        <v>127</v>
      </c>
    </row>
    <row r="101" spans="1:33" x14ac:dyDescent="0.3">
      <c r="A101" t="s">
        <v>733</v>
      </c>
      <c r="B101" t="s">
        <v>740</v>
      </c>
      <c r="C101" s="1">
        <v>45043</v>
      </c>
      <c r="D101" s="1">
        <v>44244</v>
      </c>
      <c r="E101" t="s">
        <v>741</v>
      </c>
      <c r="F101" t="s">
        <v>742</v>
      </c>
      <c r="G101" t="s">
        <v>743</v>
      </c>
      <c r="H101" t="s">
        <v>62</v>
      </c>
      <c r="I101" t="s">
        <v>63</v>
      </c>
      <c r="J101" t="s">
        <v>474</v>
      </c>
      <c r="K101" t="s">
        <v>41</v>
      </c>
      <c r="L101" t="s">
        <v>42</v>
      </c>
      <c r="M101" t="s">
        <v>103</v>
      </c>
      <c r="N101" t="s">
        <v>104</v>
      </c>
      <c r="O101" t="s">
        <v>166</v>
      </c>
      <c r="P101" t="s">
        <v>79</v>
      </c>
      <c r="Q101" t="s">
        <v>167</v>
      </c>
      <c r="R101" t="s">
        <v>70</v>
      </c>
      <c r="S101" t="s">
        <v>49</v>
      </c>
      <c r="T101" t="s">
        <v>72</v>
      </c>
      <c r="U101" t="s">
        <v>51</v>
      </c>
      <c r="V101">
        <v>30</v>
      </c>
      <c r="W101" t="s">
        <v>52</v>
      </c>
      <c r="X101">
        <v>180</v>
      </c>
      <c r="Y101" s="2">
        <v>5400</v>
      </c>
      <c r="Z101" t="s">
        <v>53</v>
      </c>
      <c r="AA101" s="3">
        <v>0.18</v>
      </c>
      <c r="AB101">
        <v>33059090</v>
      </c>
      <c r="AC101">
        <v>970</v>
      </c>
      <c r="AD101" t="s">
        <v>217</v>
      </c>
      <c r="AE101" t="s">
        <v>145</v>
      </c>
      <c r="AF101" t="s">
        <v>109</v>
      </c>
      <c r="AG101" t="s">
        <v>218</v>
      </c>
    </row>
    <row r="102" spans="1:33" x14ac:dyDescent="0.3">
      <c r="A102" t="s">
        <v>733</v>
      </c>
      <c r="B102" t="s">
        <v>744</v>
      </c>
      <c r="C102" s="1">
        <v>45053</v>
      </c>
      <c r="D102" s="1">
        <v>44253</v>
      </c>
      <c r="E102" t="s">
        <v>745</v>
      </c>
      <c r="F102" t="s">
        <v>192</v>
      </c>
      <c r="G102" t="s">
        <v>193</v>
      </c>
      <c r="H102" t="s">
        <v>38</v>
      </c>
      <c r="I102" t="s">
        <v>185</v>
      </c>
      <c r="J102" t="s">
        <v>40</v>
      </c>
      <c r="K102" t="s">
        <v>194</v>
      </c>
      <c r="L102" t="s">
        <v>42</v>
      </c>
      <c r="M102" t="s">
        <v>195</v>
      </c>
      <c r="N102" t="s">
        <v>196</v>
      </c>
      <c r="O102" t="s">
        <v>442</v>
      </c>
      <c r="P102" t="s">
        <v>46</v>
      </c>
      <c r="Q102" t="s">
        <v>443</v>
      </c>
      <c r="R102" t="s">
        <v>94</v>
      </c>
      <c r="S102" t="s">
        <v>49</v>
      </c>
      <c r="T102" t="s">
        <v>178</v>
      </c>
      <c r="U102" t="s">
        <v>51</v>
      </c>
      <c r="V102">
        <v>20</v>
      </c>
      <c r="W102" t="s">
        <v>52</v>
      </c>
      <c r="X102">
        <v>75</v>
      </c>
      <c r="Y102" s="2">
        <v>1510</v>
      </c>
      <c r="Z102" t="s">
        <v>53</v>
      </c>
      <c r="AA102" s="3">
        <v>0.18</v>
      </c>
      <c r="AB102">
        <v>33030050</v>
      </c>
      <c r="AC102">
        <v>270</v>
      </c>
      <c r="AD102" t="s">
        <v>108</v>
      </c>
      <c r="AE102" t="s">
        <v>55</v>
      </c>
      <c r="AF102" t="s">
        <v>76</v>
      </c>
      <c r="AG102" t="s">
        <v>57</v>
      </c>
    </row>
    <row r="103" spans="1:33" x14ac:dyDescent="0.3">
      <c r="A103" t="s">
        <v>733</v>
      </c>
      <c r="B103" t="s">
        <v>746</v>
      </c>
      <c r="C103" s="1">
        <v>45032</v>
      </c>
      <c r="D103" s="1">
        <v>44254</v>
      </c>
      <c r="E103" t="s">
        <v>747</v>
      </c>
      <c r="F103" t="s">
        <v>748</v>
      </c>
      <c r="G103" t="s">
        <v>749</v>
      </c>
      <c r="H103" t="s">
        <v>38</v>
      </c>
      <c r="I103" t="s">
        <v>163</v>
      </c>
      <c r="J103" t="s">
        <v>358</v>
      </c>
      <c r="K103" t="s">
        <v>65</v>
      </c>
      <c r="L103" t="s">
        <v>117</v>
      </c>
      <c r="M103" t="s">
        <v>694</v>
      </c>
      <c r="N103" t="s">
        <v>695</v>
      </c>
      <c r="O103" t="s">
        <v>142</v>
      </c>
      <c r="P103" t="s">
        <v>79</v>
      </c>
      <c r="Q103" t="s">
        <v>143</v>
      </c>
      <c r="R103" t="s">
        <v>107</v>
      </c>
      <c r="S103" t="s">
        <v>123</v>
      </c>
      <c r="T103" t="s">
        <v>124</v>
      </c>
      <c r="U103" t="s">
        <v>73</v>
      </c>
      <c r="V103">
        <v>10</v>
      </c>
      <c r="W103" t="s">
        <v>52</v>
      </c>
      <c r="X103">
        <v>240</v>
      </c>
      <c r="Y103" s="2">
        <v>2400</v>
      </c>
      <c r="Z103" t="s">
        <v>53</v>
      </c>
      <c r="AA103" s="3">
        <v>0.18</v>
      </c>
      <c r="AB103">
        <v>33071010</v>
      </c>
      <c r="AC103">
        <v>430</v>
      </c>
      <c r="AD103" t="s">
        <v>179</v>
      </c>
      <c r="AE103" t="s">
        <v>180</v>
      </c>
      <c r="AF103" t="s">
        <v>56</v>
      </c>
      <c r="AG103" t="s">
        <v>77</v>
      </c>
    </row>
    <row r="104" spans="1:33" x14ac:dyDescent="0.3">
      <c r="A104" t="s">
        <v>733</v>
      </c>
      <c r="B104" t="s">
        <v>750</v>
      </c>
      <c r="C104" s="1">
        <v>45045</v>
      </c>
      <c r="D104" s="1">
        <v>44262</v>
      </c>
      <c r="E104" t="s">
        <v>751</v>
      </c>
      <c r="F104" t="s">
        <v>232</v>
      </c>
      <c r="G104" t="s">
        <v>233</v>
      </c>
      <c r="H104" t="s">
        <v>174</v>
      </c>
      <c r="I104" t="s">
        <v>163</v>
      </c>
      <c r="J104" t="s">
        <v>234</v>
      </c>
      <c r="K104" t="s">
        <v>194</v>
      </c>
      <c r="L104" t="s">
        <v>117</v>
      </c>
      <c r="M104" t="s">
        <v>235</v>
      </c>
      <c r="N104" t="s">
        <v>236</v>
      </c>
      <c r="O104" t="s">
        <v>68</v>
      </c>
      <c r="P104" t="s">
        <v>46</v>
      </c>
      <c r="Q104" t="s">
        <v>69</v>
      </c>
      <c r="R104" t="s">
        <v>70</v>
      </c>
      <c r="S104" t="s">
        <v>123</v>
      </c>
      <c r="T104" t="s">
        <v>72</v>
      </c>
      <c r="U104" t="s">
        <v>144</v>
      </c>
      <c r="V104">
        <v>70</v>
      </c>
      <c r="W104" t="s">
        <v>52</v>
      </c>
      <c r="X104">
        <v>45</v>
      </c>
      <c r="Y104" s="2">
        <v>3140</v>
      </c>
      <c r="Z104" t="s">
        <v>53</v>
      </c>
      <c r="AA104" s="3">
        <v>0.18</v>
      </c>
      <c r="AB104">
        <v>33049930</v>
      </c>
      <c r="AC104">
        <v>560</v>
      </c>
      <c r="AD104" t="s">
        <v>95</v>
      </c>
      <c r="AE104" t="s">
        <v>55</v>
      </c>
      <c r="AF104" t="s">
        <v>56</v>
      </c>
      <c r="AG104" t="s">
        <v>158</v>
      </c>
    </row>
    <row r="105" spans="1:33" x14ac:dyDescent="0.3">
      <c r="A105" t="s">
        <v>733</v>
      </c>
      <c r="B105" t="s">
        <v>752</v>
      </c>
      <c r="C105" s="1">
        <v>45057</v>
      </c>
      <c r="D105" s="1">
        <v>44263</v>
      </c>
      <c r="E105" t="s">
        <v>753</v>
      </c>
      <c r="F105" t="s">
        <v>241</v>
      </c>
      <c r="G105" t="s">
        <v>242</v>
      </c>
      <c r="H105" t="s">
        <v>150</v>
      </c>
      <c r="I105" t="s">
        <v>185</v>
      </c>
      <c r="J105" t="s">
        <v>243</v>
      </c>
      <c r="K105" t="s">
        <v>41</v>
      </c>
      <c r="L105" t="s">
        <v>187</v>
      </c>
      <c r="M105" t="s">
        <v>244</v>
      </c>
      <c r="N105" t="s">
        <v>245</v>
      </c>
      <c r="O105" t="s">
        <v>45</v>
      </c>
      <c r="P105" t="s">
        <v>46</v>
      </c>
      <c r="Q105" t="s">
        <v>47</v>
      </c>
      <c r="R105" t="s">
        <v>70</v>
      </c>
      <c r="S105" t="s">
        <v>188</v>
      </c>
      <c r="T105" t="s">
        <v>178</v>
      </c>
      <c r="U105" t="s">
        <v>51</v>
      </c>
      <c r="V105">
        <v>60</v>
      </c>
      <c r="W105" t="s">
        <v>52</v>
      </c>
      <c r="X105">
        <v>17</v>
      </c>
      <c r="Y105" s="2">
        <v>1000</v>
      </c>
      <c r="Z105" t="s">
        <v>53</v>
      </c>
      <c r="AA105" s="3">
        <v>0.18</v>
      </c>
      <c r="AB105">
        <v>33041000</v>
      </c>
      <c r="AC105">
        <v>180</v>
      </c>
      <c r="AD105" t="s">
        <v>217</v>
      </c>
      <c r="AE105" t="s">
        <v>75</v>
      </c>
      <c r="AF105" t="s">
        <v>76</v>
      </c>
      <c r="AG105" t="s">
        <v>97</v>
      </c>
    </row>
    <row r="106" spans="1:33" x14ac:dyDescent="0.3">
      <c r="A106" t="s">
        <v>733</v>
      </c>
      <c r="B106" t="s">
        <v>754</v>
      </c>
      <c r="C106" s="1">
        <v>45085</v>
      </c>
      <c r="D106" s="1">
        <v>44264</v>
      </c>
      <c r="E106" t="s">
        <v>755</v>
      </c>
      <c r="F106" t="s">
        <v>756</v>
      </c>
      <c r="G106" t="s">
        <v>757</v>
      </c>
      <c r="H106" t="s">
        <v>174</v>
      </c>
      <c r="I106" t="s">
        <v>39</v>
      </c>
      <c r="J106" t="s">
        <v>116</v>
      </c>
      <c r="K106" t="s">
        <v>65</v>
      </c>
      <c r="L106" t="s">
        <v>152</v>
      </c>
      <c r="M106" t="s">
        <v>90</v>
      </c>
      <c r="N106" t="s">
        <v>469</v>
      </c>
      <c r="O106" t="s">
        <v>758</v>
      </c>
      <c r="P106" t="s">
        <v>79</v>
      </c>
      <c r="Q106" t="s">
        <v>759</v>
      </c>
      <c r="R106" t="s">
        <v>70</v>
      </c>
      <c r="S106" t="s">
        <v>155</v>
      </c>
      <c r="T106" t="s">
        <v>124</v>
      </c>
      <c r="U106" t="s">
        <v>73</v>
      </c>
      <c r="V106">
        <v>60</v>
      </c>
      <c r="W106" t="s">
        <v>52</v>
      </c>
      <c r="X106" s="2">
        <v>1008</v>
      </c>
      <c r="Y106" s="2">
        <v>60480</v>
      </c>
      <c r="Z106" t="s">
        <v>53</v>
      </c>
      <c r="AA106" s="3">
        <v>0.18</v>
      </c>
      <c r="AB106">
        <v>33071010</v>
      </c>
      <c r="AC106">
        <v>10890</v>
      </c>
      <c r="AD106" t="s">
        <v>108</v>
      </c>
      <c r="AE106" t="s">
        <v>180</v>
      </c>
      <c r="AF106" t="s">
        <v>109</v>
      </c>
      <c r="AG106" t="s">
        <v>361</v>
      </c>
    </row>
    <row r="107" spans="1:33" x14ac:dyDescent="0.3">
      <c r="A107" t="s">
        <v>733</v>
      </c>
      <c r="B107" t="s">
        <v>760</v>
      </c>
      <c r="C107" s="1">
        <v>45064</v>
      </c>
      <c r="D107" s="1">
        <v>44265</v>
      </c>
      <c r="E107" t="s">
        <v>761</v>
      </c>
      <c r="F107" t="s">
        <v>762</v>
      </c>
      <c r="G107" t="s">
        <v>763</v>
      </c>
      <c r="H107" t="s">
        <v>150</v>
      </c>
      <c r="I107" t="s">
        <v>63</v>
      </c>
      <c r="J107" t="s">
        <v>441</v>
      </c>
      <c r="K107" t="s">
        <v>194</v>
      </c>
      <c r="L107" t="s">
        <v>42</v>
      </c>
      <c r="M107" t="s">
        <v>153</v>
      </c>
      <c r="N107" t="s">
        <v>154</v>
      </c>
      <c r="O107" t="s">
        <v>539</v>
      </c>
      <c r="P107" t="s">
        <v>79</v>
      </c>
      <c r="Q107" t="s">
        <v>540</v>
      </c>
      <c r="R107" t="s">
        <v>70</v>
      </c>
      <c r="S107" t="s">
        <v>49</v>
      </c>
      <c r="T107" t="s">
        <v>197</v>
      </c>
      <c r="U107" t="s">
        <v>51</v>
      </c>
      <c r="V107">
        <v>60</v>
      </c>
      <c r="W107" t="s">
        <v>52</v>
      </c>
      <c r="X107">
        <v>46</v>
      </c>
      <c r="Y107" s="2">
        <v>2770</v>
      </c>
      <c r="Z107" t="s">
        <v>53</v>
      </c>
      <c r="AA107" s="3">
        <v>0.18</v>
      </c>
      <c r="AB107">
        <v>33030050</v>
      </c>
      <c r="AC107">
        <v>500</v>
      </c>
      <c r="AD107" t="s">
        <v>54</v>
      </c>
      <c r="AE107" t="s">
        <v>145</v>
      </c>
      <c r="AF107" t="s">
        <v>56</v>
      </c>
      <c r="AG107" t="s">
        <v>57</v>
      </c>
    </row>
    <row r="108" spans="1:33" x14ac:dyDescent="0.3">
      <c r="A108" t="s">
        <v>733</v>
      </c>
      <c r="B108" t="s">
        <v>764</v>
      </c>
      <c r="C108" s="1">
        <v>45120</v>
      </c>
      <c r="D108" s="1">
        <v>44266</v>
      </c>
      <c r="E108" t="s">
        <v>765</v>
      </c>
      <c r="F108" t="s">
        <v>251</v>
      </c>
      <c r="G108" t="s">
        <v>252</v>
      </c>
      <c r="H108" t="s">
        <v>38</v>
      </c>
      <c r="I108" t="s">
        <v>163</v>
      </c>
      <c r="J108" t="s">
        <v>40</v>
      </c>
      <c r="K108" t="s">
        <v>41</v>
      </c>
      <c r="L108" t="s">
        <v>253</v>
      </c>
      <c r="M108" t="s">
        <v>103</v>
      </c>
      <c r="N108" t="s">
        <v>254</v>
      </c>
      <c r="O108" t="s">
        <v>579</v>
      </c>
      <c r="P108" t="s">
        <v>79</v>
      </c>
      <c r="Q108" t="s">
        <v>580</v>
      </c>
      <c r="R108" t="s">
        <v>70</v>
      </c>
      <c r="S108" t="s">
        <v>71</v>
      </c>
      <c r="T108" t="s">
        <v>208</v>
      </c>
      <c r="U108" t="s">
        <v>73</v>
      </c>
      <c r="V108">
        <v>60</v>
      </c>
      <c r="W108" t="s">
        <v>52</v>
      </c>
      <c r="X108">
        <v>70</v>
      </c>
      <c r="Y108" s="2">
        <v>4200</v>
      </c>
      <c r="Z108" t="s">
        <v>53</v>
      </c>
      <c r="AA108" s="3">
        <v>0.18</v>
      </c>
      <c r="AB108">
        <v>33013091</v>
      </c>
      <c r="AC108">
        <v>760</v>
      </c>
      <c r="AD108" t="s">
        <v>74</v>
      </c>
      <c r="AE108" t="s">
        <v>126</v>
      </c>
      <c r="AF108" t="s">
        <v>76</v>
      </c>
      <c r="AG108" t="s">
        <v>77</v>
      </c>
    </row>
    <row r="109" spans="1:33" x14ac:dyDescent="0.3">
      <c r="A109" t="s">
        <v>733</v>
      </c>
      <c r="B109" t="s">
        <v>766</v>
      </c>
      <c r="C109" s="1">
        <v>45068</v>
      </c>
      <c r="D109" s="1">
        <v>44269</v>
      </c>
      <c r="E109" t="s">
        <v>767</v>
      </c>
      <c r="F109" t="s">
        <v>457</v>
      </c>
      <c r="G109" t="s">
        <v>458</v>
      </c>
      <c r="H109" t="s">
        <v>138</v>
      </c>
      <c r="I109" t="s">
        <v>185</v>
      </c>
      <c r="J109" t="s">
        <v>151</v>
      </c>
      <c r="K109" t="s">
        <v>41</v>
      </c>
      <c r="L109" t="s">
        <v>152</v>
      </c>
      <c r="M109" t="s">
        <v>43</v>
      </c>
      <c r="N109" t="s">
        <v>459</v>
      </c>
      <c r="O109" t="s">
        <v>573</v>
      </c>
      <c r="P109" t="s">
        <v>79</v>
      </c>
      <c r="Q109" t="s">
        <v>574</v>
      </c>
      <c r="R109" t="s">
        <v>107</v>
      </c>
      <c r="S109" t="s">
        <v>155</v>
      </c>
      <c r="T109" t="s">
        <v>178</v>
      </c>
      <c r="U109" t="s">
        <v>144</v>
      </c>
      <c r="V109">
        <v>10</v>
      </c>
      <c r="W109" t="s">
        <v>298</v>
      </c>
      <c r="X109">
        <v>120</v>
      </c>
      <c r="Y109" s="2">
        <v>1200</v>
      </c>
      <c r="Z109" t="s">
        <v>53</v>
      </c>
      <c r="AA109" s="3">
        <v>0.18</v>
      </c>
      <c r="AB109">
        <v>33012948</v>
      </c>
      <c r="AC109">
        <v>220</v>
      </c>
      <c r="AD109" t="s">
        <v>320</v>
      </c>
      <c r="AE109" t="s">
        <v>55</v>
      </c>
      <c r="AF109" t="s">
        <v>76</v>
      </c>
      <c r="AG109" t="s">
        <v>218</v>
      </c>
    </row>
    <row r="110" spans="1:33" x14ac:dyDescent="0.3">
      <c r="A110" t="s">
        <v>733</v>
      </c>
      <c r="B110" t="s">
        <v>768</v>
      </c>
      <c r="C110" s="1">
        <v>45047</v>
      </c>
      <c r="D110" s="1">
        <v>44270</v>
      </c>
      <c r="E110" t="s">
        <v>769</v>
      </c>
      <c r="F110" t="s">
        <v>770</v>
      </c>
      <c r="G110" t="s">
        <v>771</v>
      </c>
      <c r="H110" t="s">
        <v>38</v>
      </c>
      <c r="I110" t="s">
        <v>185</v>
      </c>
      <c r="J110" t="s">
        <v>474</v>
      </c>
      <c r="K110" t="s">
        <v>41</v>
      </c>
      <c r="L110" t="s">
        <v>42</v>
      </c>
      <c r="M110" t="s">
        <v>66</v>
      </c>
      <c r="N110" t="s">
        <v>638</v>
      </c>
      <c r="O110" t="s">
        <v>132</v>
      </c>
      <c r="P110" t="s">
        <v>79</v>
      </c>
      <c r="Q110" t="s">
        <v>133</v>
      </c>
      <c r="R110" t="s">
        <v>48</v>
      </c>
      <c r="S110" t="s">
        <v>49</v>
      </c>
      <c r="T110" t="s">
        <v>124</v>
      </c>
      <c r="U110" t="s">
        <v>51</v>
      </c>
      <c r="V110">
        <v>10</v>
      </c>
      <c r="W110" t="s">
        <v>156</v>
      </c>
      <c r="X110">
        <v>300</v>
      </c>
      <c r="Y110" s="2">
        <v>3000</v>
      </c>
      <c r="Z110" t="s">
        <v>53</v>
      </c>
      <c r="AA110" s="3">
        <v>0.18</v>
      </c>
      <c r="AB110">
        <v>33051010</v>
      </c>
      <c r="AC110">
        <v>540</v>
      </c>
      <c r="AD110" t="s">
        <v>157</v>
      </c>
      <c r="AE110" t="s">
        <v>75</v>
      </c>
      <c r="AF110" t="s">
        <v>109</v>
      </c>
      <c r="AG110" t="s">
        <v>158</v>
      </c>
    </row>
    <row r="111" spans="1:33" x14ac:dyDescent="0.3">
      <c r="A111" t="s">
        <v>733</v>
      </c>
      <c r="B111" t="s">
        <v>772</v>
      </c>
      <c r="C111" s="1">
        <v>45048</v>
      </c>
      <c r="D111" s="1">
        <v>44271</v>
      </c>
      <c r="E111" t="s">
        <v>773</v>
      </c>
      <c r="F111" t="s">
        <v>774</v>
      </c>
      <c r="G111" t="s">
        <v>775</v>
      </c>
      <c r="H111" t="s">
        <v>62</v>
      </c>
      <c r="I111" t="s">
        <v>163</v>
      </c>
      <c r="J111" t="s">
        <v>139</v>
      </c>
      <c r="K111" t="s">
        <v>41</v>
      </c>
      <c r="L111" t="s">
        <v>253</v>
      </c>
      <c r="M111" t="s">
        <v>140</v>
      </c>
      <c r="N111" t="s">
        <v>776</v>
      </c>
      <c r="O111" t="s">
        <v>130</v>
      </c>
      <c r="P111" t="s">
        <v>79</v>
      </c>
      <c r="Q111" t="s">
        <v>131</v>
      </c>
      <c r="R111" t="s">
        <v>48</v>
      </c>
      <c r="S111" t="s">
        <v>71</v>
      </c>
      <c r="T111" t="s">
        <v>197</v>
      </c>
      <c r="U111" t="s">
        <v>73</v>
      </c>
      <c r="V111">
        <v>10</v>
      </c>
      <c r="W111" t="s">
        <v>156</v>
      </c>
      <c r="X111">
        <v>732</v>
      </c>
      <c r="Y111" s="2">
        <v>7320</v>
      </c>
      <c r="Z111" t="s">
        <v>53</v>
      </c>
      <c r="AA111" s="3">
        <v>0.18</v>
      </c>
      <c r="AB111">
        <v>33059090</v>
      </c>
      <c r="AC111">
        <v>1320</v>
      </c>
      <c r="AD111" t="s">
        <v>95</v>
      </c>
      <c r="AE111" t="s">
        <v>180</v>
      </c>
      <c r="AF111" t="s">
        <v>56</v>
      </c>
      <c r="AG111" t="s">
        <v>97</v>
      </c>
    </row>
    <row r="112" spans="1:33" x14ac:dyDescent="0.3">
      <c r="A112" t="s">
        <v>733</v>
      </c>
      <c r="B112" t="s">
        <v>777</v>
      </c>
      <c r="C112" s="1">
        <v>45049</v>
      </c>
      <c r="D112" s="1">
        <v>44272</v>
      </c>
      <c r="E112" t="s">
        <v>778</v>
      </c>
      <c r="F112" t="s">
        <v>265</v>
      </c>
      <c r="G112" t="s">
        <v>266</v>
      </c>
      <c r="H112" t="s">
        <v>38</v>
      </c>
      <c r="I112" t="s">
        <v>163</v>
      </c>
      <c r="J112" t="s">
        <v>89</v>
      </c>
      <c r="K112" t="s">
        <v>65</v>
      </c>
      <c r="L112" t="s">
        <v>117</v>
      </c>
      <c r="M112" t="s">
        <v>267</v>
      </c>
      <c r="N112" t="s">
        <v>268</v>
      </c>
      <c r="O112" t="s">
        <v>128</v>
      </c>
      <c r="P112" t="s">
        <v>79</v>
      </c>
      <c r="Q112" t="s">
        <v>129</v>
      </c>
      <c r="R112" t="s">
        <v>122</v>
      </c>
      <c r="S112" t="s">
        <v>123</v>
      </c>
      <c r="T112" t="s">
        <v>50</v>
      </c>
      <c r="U112" t="s">
        <v>144</v>
      </c>
      <c r="V112">
        <v>10</v>
      </c>
      <c r="W112" t="s">
        <v>156</v>
      </c>
      <c r="X112">
        <v>390</v>
      </c>
      <c r="Y112" s="2">
        <v>3900</v>
      </c>
      <c r="Z112" t="s">
        <v>53</v>
      </c>
      <c r="AA112" s="3">
        <v>0.18</v>
      </c>
      <c r="AB112">
        <v>33049930</v>
      </c>
      <c r="AC112">
        <v>700</v>
      </c>
      <c r="AD112" t="s">
        <v>95</v>
      </c>
      <c r="AE112" t="s">
        <v>145</v>
      </c>
      <c r="AF112" t="s">
        <v>76</v>
      </c>
      <c r="AG112" t="s">
        <v>361</v>
      </c>
    </row>
    <row r="113" spans="1:33" x14ac:dyDescent="0.3">
      <c r="A113" t="s">
        <v>733</v>
      </c>
      <c r="B113" t="s">
        <v>779</v>
      </c>
      <c r="C113" s="1">
        <v>45065</v>
      </c>
      <c r="D113" s="1">
        <v>44304</v>
      </c>
      <c r="E113" t="s">
        <v>780</v>
      </c>
      <c r="F113" t="s">
        <v>781</v>
      </c>
      <c r="G113" t="s">
        <v>782</v>
      </c>
      <c r="H113" t="s">
        <v>38</v>
      </c>
      <c r="I113" t="s">
        <v>39</v>
      </c>
      <c r="J113" t="s">
        <v>474</v>
      </c>
      <c r="K113" t="s">
        <v>41</v>
      </c>
      <c r="L113" t="s">
        <v>187</v>
      </c>
      <c r="M113" t="s">
        <v>90</v>
      </c>
      <c r="N113" t="s">
        <v>214</v>
      </c>
      <c r="O113" t="s">
        <v>45</v>
      </c>
      <c r="P113" t="s">
        <v>46</v>
      </c>
      <c r="Q113" t="s">
        <v>47</v>
      </c>
      <c r="R113" t="s">
        <v>70</v>
      </c>
      <c r="S113" t="s">
        <v>188</v>
      </c>
      <c r="T113" t="s">
        <v>72</v>
      </c>
      <c r="U113" t="s">
        <v>51</v>
      </c>
      <c r="V113">
        <v>2340</v>
      </c>
      <c r="W113" t="s">
        <v>52</v>
      </c>
      <c r="X113" s="2">
        <v>44492</v>
      </c>
      <c r="Y113" s="2">
        <v>104110160</v>
      </c>
      <c r="Z113" t="s">
        <v>53</v>
      </c>
      <c r="AA113" s="3">
        <v>0.18</v>
      </c>
      <c r="AB113">
        <v>33051010</v>
      </c>
      <c r="AC113">
        <v>18739830</v>
      </c>
      <c r="AD113" t="s">
        <v>179</v>
      </c>
      <c r="AE113" t="s">
        <v>126</v>
      </c>
      <c r="AF113" t="s">
        <v>56</v>
      </c>
      <c r="AG113" t="s">
        <v>218</v>
      </c>
    </row>
    <row r="114" spans="1:33" x14ac:dyDescent="0.3">
      <c r="A114" t="s">
        <v>733</v>
      </c>
      <c r="B114" t="s">
        <v>783</v>
      </c>
      <c r="C114" s="1">
        <v>45066</v>
      </c>
      <c r="D114" s="1">
        <v>44305</v>
      </c>
      <c r="E114" t="s">
        <v>784</v>
      </c>
      <c r="F114" t="s">
        <v>551</v>
      </c>
      <c r="G114" t="s">
        <v>552</v>
      </c>
      <c r="H114" t="s">
        <v>62</v>
      </c>
      <c r="I114" t="s">
        <v>63</v>
      </c>
      <c r="J114" t="s">
        <v>139</v>
      </c>
      <c r="K114" t="s">
        <v>65</v>
      </c>
      <c r="L114" t="s">
        <v>42</v>
      </c>
      <c r="M114" t="s">
        <v>153</v>
      </c>
      <c r="N114" t="s">
        <v>154</v>
      </c>
      <c r="O114" t="s">
        <v>350</v>
      </c>
      <c r="P114" t="s">
        <v>338</v>
      </c>
      <c r="Q114" t="s">
        <v>351</v>
      </c>
      <c r="R114" t="s">
        <v>70</v>
      </c>
      <c r="S114" t="s">
        <v>49</v>
      </c>
      <c r="T114" t="s">
        <v>178</v>
      </c>
      <c r="U114" t="s">
        <v>73</v>
      </c>
      <c r="V114">
        <v>2180</v>
      </c>
      <c r="W114" t="s">
        <v>52</v>
      </c>
      <c r="X114">
        <v>964</v>
      </c>
      <c r="Y114" s="2">
        <v>2101520</v>
      </c>
      <c r="Z114" t="s">
        <v>53</v>
      </c>
      <c r="AA114" s="3">
        <v>0.18</v>
      </c>
      <c r="AB114">
        <v>33059090</v>
      </c>
      <c r="AC114">
        <v>378270</v>
      </c>
      <c r="AD114" t="s">
        <v>54</v>
      </c>
      <c r="AE114" t="s">
        <v>180</v>
      </c>
      <c r="AF114" t="s">
        <v>56</v>
      </c>
      <c r="AG114" t="s">
        <v>158</v>
      </c>
    </row>
    <row r="115" spans="1:33" x14ac:dyDescent="0.3">
      <c r="A115" t="s">
        <v>733</v>
      </c>
      <c r="B115" t="s">
        <v>785</v>
      </c>
      <c r="C115" s="1">
        <v>45067</v>
      </c>
      <c r="D115" s="1">
        <v>44306</v>
      </c>
      <c r="E115" t="s">
        <v>786</v>
      </c>
      <c r="F115" t="s">
        <v>787</v>
      </c>
      <c r="G115" t="s">
        <v>788</v>
      </c>
      <c r="H115" t="s">
        <v>62</v>
      </c>
      <c r="I115" t="s">
        <v>185</v>
      </c>
      <c r="J115" t="s">
        <v>102</v>
      </c>
      <c r="K115" t="s">
        <v>65</v>
      </c>
      <c r="L115" t="s">
        <v>187</v>
      </c>
      <c r="M115" t="s">
        <v>176</v>
      </c>
      <c r="N115" t="s">
        <v>594</v>
      </c>
      <c r="O115" t="s">
        <v>261</v>
      </c>
      <c r="P115" t="s">
        <v>247</v>
      </c>
      <c r="Q115" t="s">
        <v>262</v>
      </c>
      <c r="R115" t="s">
        <v>94</v>
      </c>
      <c r="S115" t="s">
        <v>188</v>
      </c>
      <c r="T115" t="s">
        <v>124</v>
      </c>
      <c r="U115" t="s">
        <v>51</v>
      </c>
      <c r="V115">
        <v>20</v>
      </c>
      <c r="W115" t="s">
        <v>52</v>
      </c>
      <c r="X115">
        <v>54</v>
      </c>
      <c r="Y115" s="2">
        <v>1080</v>
      </c>
      <c r="Z115" t="s">
        <v>53</v>
      </c>
      <c r="AA115" s="3">
        <v>0.18</v>
      </c>
      <c r="AB115">
        <v>33049930</v>
      </c>
      <c r="AC115">
        <v>190</v>
      </c>
      <c r="AD115" t="s">
        <v>74</v>
      </c>
      <c r="AE115" t="s">
        <v>145</v>
      </c>
      <c r="AF115" t="s">
        <v>56</v>
      </c>
      <c r="AG115" t="s">
        <v>97</v>
      </c>
    </row>
    <row r="116" spans="1:33" x14ac:dyDescent="0.3">
      <c r="A116" t="s">
        <v>733</v>
      </c>
      <c r="B116" t="s">
        <v>789</v>
      </c>
      <c r="C116" s="1">
        <v>45089</v>
      </c>
      <c r="D116" s="1">
        <v>44312</v>
      </c>
      <c r="E116" t="s">
        <v>790</v>
      </c>
      <c r="F116" t="s">
        <v>791</v>
      </c>
      <c r="G116" t="s">
        <v>792</v>
      </c>
      <c r="H116" t="s">
        <v>138</v>
      </c>
      <c r="I116" t="s">
        <v>163</v>
      </c>
      <c r="J116" t="s">
        <v>441</v>
      </c>
      <c r="K116" t="s">
        <v>194</v>
      </c>
      <c r="L116" t="s">
        <v>117</v>
      </c>
      <c r="M116" t="s">
        <v>694</v>
      </c>
      <c r="N116" t="s">
        <v>695</v>
      </c>
      <c r="O116" t="s">
        <v>312</v>
      </c>
      <c r="P116" t="s">
        <v>247</v>
      </c>
      <c r="Q116" t="s">
        <v>313</v>
      </c>
      <c r="R116" t="s">
        <v>48</v>
      </c>
      <c r="S116" t="s">
        <v>123</v>
      </c>
      <c r="T116" t="s">
        <v>124</v>
      </c>
      <c r="U116" t="s">
        <v>51</v>
      </c>
      <c r="V116">
        <v>2180</v>
      </c>
      <c r="W116" t="s">
        <v>52</v>
      </c>
      <c r="X116">
        <v>7</v>
      </c>
      <c r="Y116" s="2">
        <v>16130</v>
      </c>
      <c r="Z116" t="s">
        <v>53</v>
      </c>
      <c r="AA116" s="3">
        <v>0.18</v>
      </c>
      <c r="AB116">
        <v>33051010</v>
      </c>
      <c r="AC116">
        <v>2900</v>
      </c>
      <c r="AD116" t="s">
        <v>217</v>
      </c>
      <c r="AE116" t="s">
        <v>180</v>
      </c>
      <c r="AF116" t="s">
        <v>76</v>
      </c>
      <c r="AG116" t="s">
        <v>57</v>
      </c>
    </row>
    <row r="117" spans="1:33" x14ac:dyDescent="0.3">
      <c r="A117" t="s">
        <v>733</v>
      </c>
      <c r="B117" t="s">
        <v>793</v>
      </c>
      <c r="C117" s="1">
        <v>45081</v>
      </c>
      <c r="D117" s="1">
        <v>44315</v>
      </c>
      <c r="E117" t="s">
        <v>794</v>
      </c>
      <c r="F117" t="s">
        <v>795</v>
      </c>
      <c r="G117" t="s">
        <v>796</v>
      </c>
      <c r="H117" t="s">
        <v>138</v>
      </c>
      <c r="I117" t="s">
        <v>39</v>
      </c>
      <c r="J117" t="s">
        <v>358</v>
      </c>
      <c r="K117" t="s">
        <v>41</v>
      </c>
      <c r="L117" t="s">
        <v>42</v>
      </c>
      <c r="M117" t="s">
        <v>797</v>
      </c>
      <c r="N117" t="s">
        <v>798</v>
      </c>
      <c r="O117" t="s">
        <v>553</v>
      </c>
      <c r="P117" t="s">
        <v>247</v>
      </c>
      <c r="Q117" t="s">
        <v>554</v>
      </c>
      <c r="R117" t="s">
        <v>122</v>
      </c>
      <c r="S117" t="s">
        <v>49</v>
      </c>
      <c r="T117" t="s">
        <v>178</v>
      </c>
      <c r="U117" t="s">
        <v>51</v>
      </c>
      <c r="V117">
        <v>20</v>
      </c>
      <c r="W117" t="s">
        <v>52</v>
      </c>
      <c r="X117">
        <v>55</v>
      </c>
      <c r="Y117" s="2">
        <v>1100</v>
      </c>
      <c r="Z117" t="s">
        <v>53</v>
      </c>
      <c r="AA117" s="3">
        <v>0.18</v>
      </c>
      <c r="AB117">
        <v>33041000</v>
      </c>
      <c r="AC117">
        <v>200</v>
      </c>
      <c r="AD117" t="s">
        <v>74</v>
      </c>
      <c r="AE117" t="s">
        <v>209</v>
      </c>
      <c r="AF117" t="s">
        <v>76</v>
      </c>
      <c r="AG117" t="s">
        <v>127</v>
      </c>
    </row>
    <row r="118" spans="1:33" x14ac:dyDescent="0.3">
      <c r="A118" t="s">
        <v>733</v>
      </c>
      <c r="B118" t="s">
        <v>799</v>
      </c>
      <c r="C118" s="1">
        <v>45091</v>
      </c>
      <c r="D118" s="1">
        <v>44320</v>
      </c>
      <c r="E118" t="s">
        <v>800</v>
      </c>
      <c r="F118" t="s">
        <v>801</v>
      </c>
      <c r="G118" t="s">
        <v>802</v>
      </c>
      <c r="H118" t="s">
        <v>38</v>
      </c>
      <c r="I118" t="s">
        <v>39</v>
      </c>
      <c r="J118" t="s">
        <v>186</v>
      </c>
      <c r="K118" t="s">
        <v>41</v>
      </c>
      <c r="L118" t="s">
        <v>42</v>
      </c>
      <c r="M118" t="s">
        <v>43</v>
      </c>
      <c r="N118" t="s">
        <v>44</v>
      </c>
      <c r="O118" t="s">
        <v>383</v>
      </c>
      <c r="P118" t="s">
        <v>338</v>
      </c>
      <c r="Q118" t="s">
        <v>384</v>
      </c>
      <c r="R118" t="s">
        <v>122</v>
      </c>
      <c r="S118" t="s">
        <v>49</v>
      </c>
      <c r="T118" t="s">
        <v>72</v>
      </c>
      <c r="U118" t="s">
        <v>51</v>
      </c>
      <c r="V118">
        <v>10</v>
      </c>
      <c r="W118" t="s">
        <v>52</v>
      </c>
      <c r="X118">
        <v>550</v>
      </c>
      <c r="Y118" s="2">
        <v>5500</v>
      </c>
      <c r="Z118" t="s">
        <v>53</v>
      </c>
      <c r="AA118" s="3">
        <v>0.18</v>
      </c>
      <c r="AB118">
        <v>33049930</v>
      </c>
      <c r="AC118">
        <v>990</v>
      </c>
      <c r="AD118" t="s">
        <v>95</v>
      </c>
      <c r="AE118" t="s">
        <v>145</v>
      </c>
      <c r="AF118" t="s">
        <v>76</v>
      </c>
      <c r="AG118" t="s">
        <v>57</v>
      </c>
    </row>
    <row r="119" spans="1:33" x14ac:dyDescent="0.3">
      <c r="A119" t="s">
        <v>733</v>
      </c>
      <c r="B119" t="s">
        <v>803</v>
      </c>
      <c r="C119" s="1">
        <v>45092</v>
      </c>
      <c r="D119" s="1">
        <v>44326</v>
      </c>
      <c r="E119" t="s">
        <v>804</v>
      </c>
      <c r="F119" t="s">
        <v>805</v>
      </c>
      <c r="G119" t="s">
        <v>806</v>
      </c>
      <c r="H119" t="s">
        <v>38</v>
      </c>
      <c r="I119" t="s">
        <v>163</v>
      </c>
      <c r="J119" t="s">
        <v>64</v>
      </c>
      <c r="K119" t="s">
        <v>41</v>
      </c>
      <c r="L119" t="s">
        <v>253</v>
      </c>
      <c r="M119" t="s">
        <v>153</v>
      </c>
      <c r="N119" t="s">
        <v>154</v>
      </c>
      <c r="O119" t="s">
        <v>215</v>
      </c>
      <c r="P119" t="s">
        <v>46</v>
      </c>
      <c r="Q119" t="s">
        <v>216</v>
      </c>
      <c r="R119" t="s">
        <v>70</v>
      </c>
      <c r="S119" t="s">
        <v>71</v>
      </c>
      <c r="T119" t="s">
        <v>197</v>
      </c>
      <c r="U119" t="s">
        <v>144</v>
      </c>
      <c r="V119">
        <v>40</v>
      </c>
      <c r="W119" t="s">
        <v>52</v>
      </c>
      <c r="X119">
        <v>70</v>
      </c>
      <c r="Y119" s="2">
        <v>2800</v>
      </c>
      <c r="Z119" t="s">
        <v>53</v>
      </c>
      <c r="AA119" s="3">
        <v>0.18</v>
      </c>
      <c r="AB119">
        <v>33051010</v>
      </c>
      <c r="AC119">
        <v>500</v>
      </c>
      <c r="AD119" t="s">
        <v>320</v>
      </c>
      <c r="AE119" t="s">
        <v>75</v>
      </c>
      <c r="AF119" t="s">
        <v>76</v>
      </c>
      <c r="AG119" t="s">
        <v>169</v>
      </c>
    </row>
    <row r="120" spans="1:33" x14ac:dyDescent="0.3">
      <c r="A120" t="s">
        <v>733</v>
      </c>
      <c r="B120" t="s">
        <v>807</v>
      </c>
      <c r="C120" s="1">
        <v>45104</v>
      </c>
      <c r="D120" s="1">
        <v>44332</v>
      </c>
      <c r="E120" t="s">
        <v>808</v>
      </c>
      <c r="F120" t="s">
        <v>809</v>
      </c>
      <c r="G120" t="s">
        <v>810</v>
      </c>
      <c r="H120" t="s">
        <v>138</v>
      </c>
      <c r="I120" t="s">
        <v>163</v>
      </c>
      <c r="J120" t="s">
        <v>139</v>
      </c>
      <c r="K120" t="s">
        <v>65</v>
      </c>
      <c r="L120" t="s">
        <v>117</v>
      </c>
      <c r="M120" t="s">
        <v>153</v>
      </c>
      <c r="N120" t="s">
        <v>154</v>
      </c>
      <c r="O120" t="s">
        <v>517</v>
      </c>
      <c r="P120" t="s">
        <v>46</v>
      </c>
      <c r="Q120" t="s">
        <v>518</v>
      </c>
      <c r="R120" t="s">
        <v>48</v>
      </c>
      <c r="S120" t="s">
        <v>123</v>
      </c>
      <c r="T120" t="s">
        <v>124</v>
      </c>
      <c r="U120" t="s">
        <v>51</v>
      </c>
      <c r="V120">
        <v>60</v>
      </c>
      <c r="W120" t="s">
        <v>52</v>
      </c>
      <c r="X120">
        <v>79</v>
      </c>
      <c r="Y120" s="2">
        <v>4740</v>
      </c>
      <c r="Z120" t="s">
        <v>53</v>
      </c>
      <c r="AA120" s="3">
        <v>0.18</v>
      </c>
      <c r="AB120">
        <v>33059090</v>
      </c>
      <c r="AC120">
        <v>850</v>
      </c>
      <c r="AD120" t="s">
        <v>217</v>
      </c>
      <c r="AE120" t="s">
        <v>209</v>
      </c>
      <c r="AF120" t="s">
        <v>109</v>
      </c>
      <c r="AG120" t="s">
        <v>127</v>
      </c>
    </row>
    <row r="121" spans="1:33" x14ac:dyDescent="0.3">
      <c r="A121" t="s">
        <v>733</v>
      </c>
      <c r="B121" t="s">
        <v>811</v>
      </c>
      <c r="C121" s="1">
        <v>45106</v>
      </c>
      <c r="D121" s="1">
        <v>44333</v>
      </c>
      <c r="E121" t="s">
        <v>812</v>
      </c>
      <c r="F121" t="s">
        <v>813</v>
      </c>
      <c r="G121" t="s">
        <v>814</v>
      </c>
      <c r="H121" t="s">
        <v>174</v>
      </c>
      <c r="I121" t="s">
        <v>175</v>
      </c>
      <c r="J121" t="s">
        <v>89</v>
      </c>
      <c r="K121" t="s">
        <v>194</v>
      </c>
      <c r="L121" t="s">
        <v>42</v>
      </c>
      <c r="M121" t="s">
        <v>153</v>
      </c>
      <c r="N121" t="s">
        <v>154</v>
      </c>
      <c r="O121" t="s">
        <v>228</v>
      </c>
      <c r="P121" t="s">
        <v>46</v>
      </c>
      <c r="Q121" t="s">
        <v>229</v>
      </c>
      <c r="R121" t="s">
        <v>48</v>
      </c>
      <c r="S121" t="s">
        <v>49</v>
      </c>
      <c r="T121" t="s">
        <v>197</v>
      </c>
      <c r="U121" t="s">
        <v>51</v>
      </c>
      <c r="V121">
        <v>10</v>
      </c>
      <c r="W121" t="s">
        <v>52</v>
      </c>
      <c r="X121" s="2">
        <v>9500</v>
      </c>
      <c r="Y121" s="2">
        <v>95000</v>
      </c>
      <c r="Z121" t="s">
        <v>53</v>
      </c>
      <c r="AA121" s="3">
        <v>0.18</v>
      </c>
      <c r="AB121">
        <v>33049930</v>
      </c>
      <c r="AC121">
        <v>17100</v>
      </c>
      <c r="AD121" t="s">
        <v>108</v>
      </c>
      <c r="AE121" t="s">
        <v>96</v>
      </c>
      <c r="AF121" t="s">
        <v>56</v>
      </c>
      <c r="AG121" t="s">
        <v>218</v>
      </c>
    </row>
    <row r="122" spans="1:33" x14ac:dyDescent="0.3">
      <c r="A122" t="s">
        <v>733</v>
      </c>
      <c r="B122" t="s">
        <v>815</v>
      </c>
      <c r="C122" s="1">
        <v>45108</v>
      </c>
      <c r="D122" s="1">
        <v>44334</v>
      </c>
      <c r="E122" t="s">
        <v>816</v>
      </c>
      <c r="F122" t="s">
        <v>817</v>
      </c>
      <c r="G122" t="s">
        <v>818</v>
      </c>
      <c r="H122" t="s">
        <v>150</v>
      </c>
      <c r="I122" t="s">
        <v>185</v>
      </c>
      <c r="J122" t="s">
        <v>186</v>
      </c>
      <c r="K122" t="s">
        <v>41</v>
      </c>
      <c r="L122" t="s">
        <v>253</v>
      </c>
      <c r="M122" t="s">
        <v>153</v>
      </c>
      <c r="N122" t="s">
        <v>154</v>
      </c>
      <c r="O122" t="s">
        <v>511</v>
      </c>
      <c r="P122" t="s">
        <v>46</v>
      </c>
      <c r="Q122" t="s">
        <v>512</v>
      </c>
      <c r="R122" t="s">
        <v>122</v>
      </c>
      <c r="S122" t="s">
        <v>71</v>
      </c>
      <c r="T122" t="s">
        <v>208</v>
      </c>
      <c r="U122" t="s">
        <v>73</v>
      </c>
      <c r="V122">
        <v>10</v>
      </c>
      <c r="W122" t="s">
        <v>52</v>
      </c>
      <c r="X122" s="2">
        <v>64178</v>
      </c>
      <c r="Y122" s="2">
        <v>641780</v>
      </c>
      <c r="Z122" t="s">
        <v>53</v>
      </c>
      <c r="AA122" s="3">
        <v>0.18</v>
      </c>
      <c r="AB122">
        <v>33041000</v>
      </c>
      <c r="AC122">
        <v>115520</v>
      </c>
      <c r="AD122" t="s">
        <v>179</v>
      </c>
      <c r="AE122" t="s">
        <v>55</v>
      </c>
      <c r="AF122" t="s">
        <v>76</v>
      </c>
      <c r="AG122" t="s">
        <v>158</v>
      </c>
    </row>
    <row r="123" spans="1:33" x14ac:dyDescent="0.3">
      <c r="A123" t="s">
        <v>733</v>
      </c>
      <c r="B123" t="s">
        <v>819</v>
      </c>
      <c r="C123" s="1">
        <v>45121</v>
      </c>
      <c r="D123" s="1">
        <v>44335</v>
      </c>
      <c r="E123" t="s">
        <v>820</v>
      </c>
      <c r="F123" t="s">
        <v>821</v>
      </c>
      <c r="G123" t="s">
        <v>822</v>
      </c>
      <c r="H123" t="s">
        <v>38</v>
      </c>
      <c r="I123" t="s">
        <v>39</v>
      </c>
      <c r="J123" t="s">
        <v>102</v>
      </c>
      <c r="K123" t="s">
        <v>65</v>
      </c>
      <c r="L123" t="s">
        <v>117</v>
      </c>
      <c r="M123" t="s">
        <v>244</v>
      </c>
      <c r="N123" t="s">
        <v>376</v>
      </c>
      <c r="O123" t="s">
        <v>237</v>
      </c>
      <c r="P123" t="s">
        <v>46</v>
      </c>
      <c r="Q123" t="s">
        <v>238</v>
      </c>
      <c r="R123" t="s">
        <v>122</v>
      </c>
      <c r="S123" t="s">
        <v>123</v>
      </c>
      <c r="T123" t="s">
        <v>50</v>
      </c>
      <c r="U123" t="s">
        <v>51</v>
      </c>
      <c r="V123">
        <v>10</v>
      </c>
      <c r="W123" t="s">
        <v>52</v>
      </c>
      <c r="X123" s="2">
        <v>2450</v>
      </c>
      <c r="Y123" s="2">
        <v>24500</v>
      </c>
      <c r="Z123" t="s">
        <v>53</v>
      </c>
      <c r="AA123" s="3">
        <v>0.18</v>
      </c>
      <c r="AB123">
        <v>33071010</v>
      </c>
      <c r="AC123">
        <v>4410</v>
      </c>
      <c r="AD123" t="s">
        <v>189</v>
      </c>
      <c r="AE123" t="s">
        <v>75</v>
      </c>
      <c r="AF123" t="s">
        <v>109</v>
      </c>
      <c r="AG123" t="s">
        <v>97</v>
      </c>
    </row>
    <row r="124" spans="1:33" x14ac:dyDescent="0.3">
      <c r="A124" t="s">
        <v>733</v>
      </c>
      <c r="B124" t="s">
        <v>823</v>
      </c>
      <c r="C124" s="1">
        <v>45114</v>
      </c>
      <c r="D124" s="1">
        <v>44335</v>
      </c>
      <c r="E124" t="s">
        <v>824</v>
      </c>
      <c r="F124" t="s">
        <v>825</v>
      </c>
      <c r="G124" t="s">
        <v>826</v>
      </c>
      <c r="H124" t="s">
        <v>62</v>
      </c>
      <c r="I124" t="s">
        <v>63</v>
      </c>
      <c r="J124" t="s">
        <v>234</v>
      </c>
      <c r="K124" t="s">
        <v>194</v>
      </c>
      <c r="L124" t="s">
        <v>42</v>
      </c>
      <c r="M124" t="s">
        <v>244</v>
      </c>
      <c r="N124" t="s">
        <v>376</v>
      </c>
      <c r="O124" t="s">
        <v>68</v>
      </c>
      <c r="P124" t="s">
        <v>46</v>
      </c>
      <c r="Q124" t="s">
        <v>69</v>
      </c>
      <c r="R124" t="s">
        <v>122</v>
      </c>
      <c r="S124" t="s">
        <v>49</v>
      </c>
      <c r="T124" t="s">
        <v>50</v>
      </c>
      <c r="U124" t="s">
        <v>73</v>
      </c>
      <c r="V124">
        <v>200</v>
      </c>
      <c r="W124" t="s">
        <v>52</v>
      </c>
      <c r="X124" s="2">
        <v>2520</v>
      </c>
      <c r="Y124" s="2">
        <v>504060</v>
      </c>
      <c r="Z124" t="s">
        <v>53</v>
      </c>
      <c r="AA124" s="3">
        <v>0.18</v>
      </c>
      <c r="AB124">
        <v>33030050</v>
      </c>
      <c r="AC124">
        <v>90730</v>
      </c>
      <c r="AD124" t="s">
        <v>157</v>
      </c>
      <c r="AE124" t="s">
        <v>180</v>
      </c>
      <c r="AF124" t="s">
        <v>56</v>
      </c>
      <c r="AG124" t="s">
        <v>361</v>
      </c>
    </row>
    <row r="125" spans="1:33" x14ac:dyDescent="0.3">
      <c r="A125" t="s">
        <v>733</v>
      </c>
      <c r="B125" t="s">
        <v>827</v>
      </c>
      <c r="C125" s="1">
        <v>45115</v>
      </c>
      <c r="D125" s="1">
        <v>44335</v>
      </c>
      <c r="E125" t="s">
        <v>828</v>
      </c>
      <c r="F125" t="s">
        <v>829</v>
      </c>
      <c r="G125" t="s">
        <v>830</v>
      </c>
      <c r="H125" t="s">
        <v>138</v>
      </c>
      <c r="I125" t="s">
        <v>39</v>
      </c>
      <c r="J125" t="s">
        <v>40</v>
      </c>
      <c r="K125" t="s">
        <v>41</v>
      </c>
      <c r="L125" t="s">
        <v>253</v>
      </c>
      <c r="M125" t="s">
        <v>244</v>
      </c>
      <c r="N125" t="s">
        <v>376</v>
      </c>
      <c r="O125" t="s">
        <v>403</v>
      </c>
      <c r="P125" t="s">
        <v>338</v>
      </c>
      <c r="Q125" t="s">
        <v>404</v>
      </c>
      <c r="R125" t="s">
        <v>122</v>
      </c>
      <c r="S125" t="s">
        <v>71</v>
      </c>
      <c r="T125" t="s">
        <v>50</v>
      </c>
      <c r="U125" t="s">
        <v>51</v>
      </c>
      <c r="V125">
        <v>240</v>
      </c>
      <c r="W125" t="s">
        <v>52</v>
      </c>
      <c r="X125">
        <v>550</v>
      </c>
      <c r="Y125" s="2">
        <v>132000</v>
      </c>
      <c r="Z125" t="s">
        <v>53</v>
      </c>
      <c r="AA125" s="3">
        <v>0.18</v>
      </c>
      <c r="AB125">
        <v>33051010</v>
      </c>
      <c r="AC125">
        <v>23760</v>
      </c>
      <c r="AD125" t="s">
        <v>95</v>
      </c>
      <c r="AE125" t="s">
        <v>145</v>
      </c>
      <c r="AF125" t="s">
        <v>56</v>
      </c>
      <c r="AG125" t="s">
        <v>57</v>
      </c>
    </row>
    <row r="126" spans="1:33" x14ac:dyDescent="0.3">
      <c r="A126" t="s">
        <v>733</v>
      </c>
      <c r="B126" t="s">
        <v>831</v>
      </c>
      <c r="C126" s="1">
        <v>45116</v>
      </c>
      <c r="D126" s="1">
        <v>44335</v>
      </c>
      <c r="E126" t="s">
        <v>832</v>
      </c>
      <c r="F126" t="s">
        <v>833</v>
      </c>
      <c r="G126" t="s">
        <v>834</v>
      </c>
      <c r="H126" t="s">
        <v>174</v>
      </c>
      <c r="I126" t="s">
        <v>63</v>
      </c>
      <c r="J126" t="s">
        <v>64</v>
      </c>
      <c r="K126" t="s">
        <v>41</v>
      </c>
      <c r="L126" t="s">
        <v>117</v>
      </c>
      <c r="M126" t="s">
        <v>43</v>
      </c>
      <c r="N126" t="s">
        <v>44</v>
      </c>
      <c r="O126" t="s">
        <v>206</v>
      </c>
      <c r="P126" t="s">
        <v>46</v>
      </c>
      <c r="Q126" t="s">
        <v>207</v>
      </c>
      <c r="R126" t="s">
        <v>48</v>
      </c>
      <c r="S126" t="s">
        <v>123</v>
      </c>
      <c r="T126" t="s">
        <v>72</v>
      </c>
      <c r="U126" t="s">
        <v>73</v>
      </c>
      <c r="V126">
        <v>240</v>
      </c>
      <c r="W126" t="s">
        <v>52</v>
      </c>
      <c r="X126">
        <v>8</v>
      </c>
      <c r="Y126" s="2">
        <v>1920</v>
      </c>
      <c r="Z126" t="s">
        <v>53</v>
      </c>
      <c r="AA126" s="3">
        <v>0.18</v>
      </c>
      <c r="AB126">
        <v>33059090</v>
      </c>
      <c r="AC126">
        <v>350</v>
      </c>
      <c r="AD126" t="s">
        <v>217</v>
      </c>
      <c r="AE126" t="s">
        <v>126</v>
      </c>
      <c r="AF126" t="s">
        <v>56</v>
      </c>
      <c r="AG126" t="s">
        <v>77</v>
      </c>
    </row>
    <row r="127" spans="1:33" x14ac:dyDescent="0.3">
      <c r="A127" t="s">
        <v>733</v>
      </c>
      <c r="B127" t="s">
        <v>835</v>
      </c>
      <c r="C127" s="1">
        <v>45122</v>
      </c>
      <c r="D127" s="1">
        <v>44339</v>
      </c>
      <c r="E127" t="s">
        <v>836</v>
      </c>
      <c r="F127" t="s">
        <v>837</v>
      </c>
      <c r="G127" t="s">
        <v>838</v>
      </c>
      <c r="H127" t="s">
        <v>150</v>
      </c>
      <c r="I127" t="s">
        <v>39</v>
      </c>
      <c r="J127" t="s">
        <v>358</v>
      </c>
      <c r="K127" t="s">
        <v>65</v>
      </c>
      <c r="L127" t="s">
        <v>187</v>
      </c>
      <c r="M127" t="s">
        <v>66</v>
      </c>
      <c r="N127" t="s">
        <v>67</v>
      </c>
      <c r="O127" t="s">
        <v>83</v>
      </c>
      <c r="P127" t="s">
        <v>46</v>
      </c>
      <c r="Q127" t="s">
        <v>84</v>
      </c>
      <c r="R127" t="s">
        <v>70</v>
      </c>
      <c r="S127" t="s">
        <v>188</v>
      </c>
      <c r="T127" t="s">
        <v>178</v>
      </c>
      <c r="U127" t="s">
        <v>144</v>
      </c>
      <c r="V127">
        <v>240</v>
      </c>
      <c r="W127" t="s">
        <v>52</v>
      </c>
      <c r="X127">
        <v>8</v>
      </c>
      <c r="Y127" s="2">
        <v>1920</v>
      </c>
      <c r="Z127" t="s">
        <v>53</v>
      </c>
      <c r="AA127" s="3">
        <v>0.18</v>
      </c>
      <c r="AB127">
        <v>33049930</v>
      </c>
      <c r="AC127">
        <v>350</v>
      </c>
      <c r="AD127" t="s">
        <v>108</v>
      </c>
      <c r="AE127" t="s">
        <v>180</v>
      </c>
      <c r="AF127" t="s">
        <v>56</v>
      </c>
      <c r="AG127" t="s">
        <v>199</v>
      </c>
    </row>
    <row r="128" spans="1:33" x14ac:dyDescent="0.3">
      <c r="A128" t="s">
        <v>733</v>
      </c>
      <c r="B128" t="s">
        <v>839</v>
      </c>
      <c r="C128" s="1">
        <v>45125</v>
      </c>
      <c r="D128" s="1">
        <v>44340</v>
      </c>
      <c r="E128" t="s">
        <v>840</v>
      </c>
      <c r="F128" t="s">
        <v>841</v>
      </c>
      <c r="G128" t="s">
        <v>842</v>
      </c>
      <c r="H128" t="s">
        <v>38</v>
      </c>
      <c r="I128" t="s">
        <v>63</v>
      </c>
      <c r="J128" t="s">
        <v>151</v>
      </c>
      <c r="K128" t="s">
        <v>41</v>
      </c>
      <c r="L128" t="s">
        <v>152</v>
      </c>
      <c r="M128" t="s">
        <v>140</v>
      </c>
      <c r="N128" t="s">
        <v>843</v>
      </c>
      <c r="O128" t="s">
        <v>81</v>
      </c>
      <c r="P128" t="s">
        <v>46</v>
      </c>
      <c r="Q128" t="s">
        <v>82</v>
      </c>
      <c r="R128" t="s">
        <v>70</v>
      </c>
      <c r="S128" t="s">
        <v>155</v>
      </c>
      <c r="T128" t="s">
        <v>124</v>
      </c>
      <c r="U128" t="s">
        <v>168</v>
      </c>
      <c r="V128">
        <v>240</v>
      </c>
      <c r="W128" t="s">
        <v>52</v>
      </c>
      <c r="X128">
        <v>5</v>
      </c>
      <c r="Y128" s="2">
        <v>1200</v>
      </c>
      <c r="Z128" t="s">
        <v>53</v>
      </c>
      <c r="AA128" s="3">
        <v>0.18</v>
      </c>
      <c r="AB128">
        <v>33041000</v>
      </c>
      <c r="AC128">
        <v>220</v>
      </c>
      <c r="AD128" t="s">
        <v>179</v>
      </c>
      <c r="AE128" t="s">
        <v>145</v>
      </c>
      <c r="AF128" t="s">
        <v>109</v>
      </c>
      <c r="AG128" t="s">
        <v>127</v>
      </c>
    </row>
    <row r="129" spans="1:33" x14ac:dyDescent="0.3">
      <c r="A129" t="s">
        <v>733</v>
      </c>
      <c r="B129" t="s">
        <v>844</v>
      </c>
      <c r="C129" s="1">
        <v>45117</v>
      </c>
      <c r="D129" s="1">
        <v>44341</v>
      </c>
      <c r="E129" t="s">
        <v>845</v>
      </c>
      <c r="F129" t="s">
        <v>846</v>
      </c>
      <c r="G129" t="s">
        <v>847</v>
      </c>
      <c r="H129" t="s">
        <v>62</v>
      </c>
      <c r="I129" t="s">
        <v>39</v>
      </c>
      <c r="J129" t="s">
        <v>474</v>
      </c>
      <c r="K129" t="s">
        <v>41</v>
      </c>
      <c r="L129" t="s">
        <v>42</v>
      </c>
      <c r="M129" t="s">
        <v>267</v>
      </c>
      <c r="N129" t="s">
        <v>411</v>
      </c>
      <c r="O129" t="s">
        <v>166</v>
      </c>
      <c r="P129" t="s">
        <v>79</v>
      </c>
      <c r="Q129" t="s">
        <v>167</v>
      </c>
      <c r="R129" t="s">
        <v>70</v>
      </c>
      <c r="S129" t="s">
        <v>49</v>
      </c>
      <c r="T129" t="s">
        <v>197</v>
      </c>
      <c r="U129" t="s">
        <v>51</v>
      </c>
      <c r="V129">
        <v>200</v>
      </c>
      <c r="W129" t="s">
        <v>52</v>
      </c>
      <c r="X129">
        <v>180</v>
      </c>
      <c r="Y129" s="2">
        <v>36000</v>
      </c>
      <c r="Z129" t="s">
        <v>53</v>
      </c>
      <c r="AA129" s="3">
        <v>0.18</v>
      </c>
      <c r="AB129">
        <v>33071010</v>
      </c>
      <c r="AC129">
        <v>6480</v>
      </c>
      <c r="AD129" t="s">
        <v>189</v>
      </c>
      <c r="AE129" t="s">
        <v>126</v>
      </c>
      <c r="AF129" t="s">
        <v>109</v>
      </c>
      <c r="AG129" t="s">
        <v>57</v>
      </c>
    </row>
    <row r="130" spans="1:33" x14ac:dyDescent="0.3">
      <c r="A130" t="s">
        <v>733</v>
      </c>
      <c r="B130" t="s">
        <v>848</v>
      </c>
      <c r="C130" s="1">
        <v>45116</v>
      </c>
      <c r="D130" s="1">
        <v>44356</v>
      </c>
      <c r="E130" t="s">
        <v>849</v>
      </c>
      <c r="F130" t="s">
        <v>850</v>
      </c>
      <c r="G130" t="s">
        <v>851</v>
      </c>
      <c r="H130" t="s">
        <v>150</v>
      </c>
      <c r="I130" t="s">
        <v>63</v>
      </c>
      <c r="J130" t="s">
        <v>139</v>
      </c>
      <c r="K130" t="s">
        <v>65</v>
      </c>
      <c r="L130" t="s">
        <v>152</v>
      </c>
      <c r="M130" t="s">
        <v>43</v>
      </c>
      <c r="N130" t="s">
        <v>44</v>
      </c>
      <c r="O130" t="s">
        <v>758</v>
      </c>
      <c r="P130" t="s">
        <v>79</v>
      </c>
      <c r="Q130" t="s">
        <v>759</v>
      </c>
      <c r="R130" t="s">
        <v>70</v>
      </c>
      <c r="S130" t="s">
        <v>155</v>
      </c>
      <c r="T130" t="s">
        <v>50</v>
      </c>
      <c r="U130" t="s">
        <v>73</v>
      </c>
      <c r="V130">
        <v>10</v>
      </c>
      <c r="W130" t="s">
        <v>52</v>
      </c>
      <c r="X130" s="2">
        <v>1530</v>
      </c>
      <c r="Y130" s="2">
        <v>15300</v>
      </c>
      <c r="Z130" t="s">
        <v>53</v>
      </c>
      <c r="AA130" s="3">
        <v>0.18</v>
      </c>
      <c r="AB130">
        <v>33041000</v>
      </c>
      <c r="AC130">
        <v>2750</v>
      </c>
      <c r="AD130" t="s">
        <v>108</v>
      </c>
      <c r="AE130" t="s">
        <v>180</v>
      </c>
      <c r="AF130" t="s">
        <v>56</v>
      </c>
      <c r="AG130" t="s">
        <v>57</v>
      </c>
    </row>
    <row r="131" spans="1:33" x14ac:dyDescent="0.3">
      <c r="A131" t="s">
        <v>733</v>
      </c>
      <c r="B131" t="s">
        <v>852</v>
      </c>
      <c r="C131" s="1">
        <v>45117</v>
      </c>
      <c r="D131" s="1">
        <v>44357</v>
      </c>
      <c r="E131" t="s">
        <v>853</v>
      </c>
      <c r="F131" t="s">
        <v>854</v>
      </c>
      <c r="G131" t="s">
        <v>855</v>
      </c>
      <c r="H131" t="s">
        <v>38</v>
      </c>
      <c r="I131" t="s">
        <v>163</v>
      </c>
      <c r="J131" t="s">
        <v>89</v>
      </c>
      <c r="K131" t="s">
        <v>194</v>
      </c>
      <c r="L131" t="s">
        <v>42</v>
      </c>
      <c r="M131" t="s">
        <v>66</v>
      </c>
      <c r="N131" t="s">
        <v>67</v>
      </c>
      <c r="O131" t="s">
        <v>573</v>
      </c>
      <c r="P131" t="s">
        <v>79</v>
      </c>
      <c r="Q131" t="s">
        <v>574</v>
      </c>
      <c r="R131" t="s">
        <v>70</v>
      </c>
      <c r="S131" t="s">
        <v>49</v>
      </c>
      <c r="T131" t="s">
        <v>72</v>
      </c>
      <c r="U131" t="s">
        <v>144</v>
      </c>
      <c r="V131">
        <v>10</v>
      </c>
      <c r="W131" t="s">
        <v>52</v>
      </c>
      <c r="X131" s="2">
        <v>8176</v>
      </c>
      <c r="Y131" s="2">
        <v>81760</v>
      </c>
      <c r="Z131" t="s">
        <v>53</v>
      </c>
      <c r="AA131" s="3">
        <v>0.18</v>
      </c>
      <c r="AB131">
        <v>33071010</v>
      </c>
      <c r="AC131">
        <v>14720</v>
      </c>
      <c r="AD131" t="s">
        <v>54</v>
      </c>
      <c r="AE131" t="s">
        <v>145</v>
      </c>
      <c r="AF131" t="s">
        <v>76</v>
      </c>
      <c r="AG131" t="s">
        <v>77</v>
      </c>
    </row>
    <row r="132" spans="1:33" x14ac:dyDescent="0.3">
      <c r="A132" t="s">
        <v>733</v>
      </c>
      <c r="B132" t="s">
        <v>856</v>
      </c>
      <c r="C132" s="1">
        <v>45118</v>
      </c>
      <c r="D132" s="1">
        <v>44358</v>
      </c>
      <c r="E132" t="s">
        <v>857</v>
      </c>
      <c r="F132" t="s">
        <v>858</v>
      </c>
      <c r="G132" t="s">
        <v>859</v>
      </c>
      <c r="H132" t="s">
        <v>174</v>
      </c>
      <c r="I132" t="s">
        <v>39</v>
      </c>
      <c r="J132" t="s">
        <v>358</v>
      </c>
      <c r="K132" t="s">
        <v>41</v>
      </c>
      <c r="L132" t="s">
        <v>253</v>
      </c>
      <c r="M132" t="s">
        <v>90</v>
      </c>
      <c r="N132" t="s">
        <v>469</v>
      </c>
      <c r="O132" t="s">
        <v>533</v>
      </c>
      <c r="P132" t="s">
        <v>79</v>
      </c>
      <c r="Q132" t="s">
        <v>534</v>
      </c>
      <c r="R132" t="s">
        <v>70</v>
      </c>
      <c r="S132" t="s">
        <v>71</v>
      </c>
      <c r="T132" t="s">
        <v>178</v>
      </c>
      <c r="U132" t="s">
        <v>168</v>
      </c>
      <c r="V132">
        <v>10</v>
      </c>
      <c r="W132" t="s">
        <v>52</v>
      </c>
      <c r="X132">
        <v>970</v>
      </c>
      <c r="Y132" s="2">
        <v>9700</v>
      </c>
      <c r="Z132" t="s">
        <v>53</v>
      </c>
      <c r="AA132" s="3">
        <v>0.18</v>
      </c>
      <c r="AB132">
        <v>33030050</v>
      </c>
      <c r="AC132">
        <v>1750</v>
      </c>
      <c r="AD132" t="s">
        <v>74</v>
      </c>
      <c r="AE132" t="s">
        <v>126</v>
      </c>
      <c r="AF132" t="s">
        <v>109</v>
      </c>
      <c r="AG132" t="s">
        <v>199</v>
      </c>
    </row>
    <row r="133" spans="1:33" x14ac:dyDescent="0.3">
      <c r="A133" t="s">
        <v>733</v>
      </c>
      <c r="B133" t="s">
        <v>860</v>
      </c>
      <c r="C133" s="1">
        <v>45130</v>
      </c>
      <c r="D133" s="1">
        <v>44359</v>
      </c>
      <c r="E133" t="s">
        <v>861</v>
      </c>
      <c r="F133" t="s">
        <v>862</v>
      </c>
      <c r="G133" t="s">
        <v>863</v>
      </c>
      <c r="H133" t="s">
        <v>150</v>
      </c>
      <c r="I133" t="s">
        <v>63</v>
      </c>
      <c r="J133" t="s">
        <v>151</v>
      </c>
      <c r="K133" t="s">
        <v>65</v>
      </c>
      <c r="L133" t="s">
        <v>117</v>
      </c>
      <c r="M133" t="s">
        <v>153</v>
      </c>
      <c r="N133" t="s">
        <v>154</v>
      </c>
      <c r="O133" t="s">
        <v>527</v>
      </c>
      <c r="P133" t="s">
        <v>79</v>
      </c>
      <c r="Q133" t="s">
        <v>528</v>
      </c>
      <c r="R133" t="s">
        <v>94</v>
      </c>
      <c r="S133" t="s">
        <v>123</v>
      </c>
      <c r="T133" t="s">
        <v>124</v>
      </c>
      <c r="U133" t="s">
        <v>51</v>
      </c>
      <c r="V133">
        <v>10</v>
      </c>
      <c r="W133" t="s">
        <v>52</v>
      </c>
      <c r="X133" s="2">
        <v>1525</v>
      </c>
      <c r="Y133" s="2">
        <v>15250</v>
      </c>
      <c r="Z133" t="s">
        <v>53</v>
      </c>
      <c r="AA133" s="3">
        <v>0.18</v>
      </c>
      <c r="AB133">
        <v>33051010</v>
      </c>
      <c r="AC133">
        <v>2750</v>
      </c>
      <c r="AD133" t="s">
        <v>125</v>
      </c>
      <c r="AE133" t="s">
        <v>209</v>
      </c>
      <c r="AF133" t="s">
        <v>56</v>
      </c>
      <c r="AG133" t="s">
        <v>127</v>
      </c>
    </row>
    <row r="134" spans="1:33" x14ac:dyDescent="0.3">
      <c r="A134" t="s">
        <v>733</v>
      </c>
      <c r="B134" t="s">
        <v>864</v>
      </c>
      <c r="C134" s="1">
        <v>45122</v>
      </c>
      <c r="D134" s="1">
        <v>44360</v>
      </c>
      <c r="E134" t="s">
        <v>865</v>
      </c>
      <c r="F134" t="s">
        <v>866</v>
      </c>
      <c r="G134" t="s">
        <v>867</v>
      </c>
      <c r="H134" t="s">
        <v>38</v>
      </c>
      <c r="I134" t="s">
        <v>163</v>
      </c>
      <c r="J134" t="s">
        <v>474</v>
      </c>
      <c r="K134" t="s">
        <v>194</v>
      </c>
      <c r="L134" t="s">
        <v>187</v>
      </c>
      <c r="M134" t="s">
        <v>103</v>
      </c>
      <c r="N134" t="s">
        <v>475</v>
      </c>
      <c r="O134" t="s">
        <v>579</v>
      </c>
      <c r="P134" t="s">
        <v>79</v>
      </c>
      <c r="Q134" t="s">
        <v>580</v>
      </c>
      <c r="R134" t="s">
        <v>107</v>
      </c>
      <c r="S134" t="s">
        <v>188</v>
      </c>
      <c r="T134" t="s">
        <v>197</v>
      </c>
      <c r="U134" t="s">
        <v>73</v>
      </c>
      <c r="V134">
        <v>10</v>
      </c>
      <c r="W134" t="s">
        <v>52</v>
      </c>
      <c r="X134">
        <v>985</v>
      </c>
      <c r="Y134" s="2">
        <v>9850</v>
      </c>
      <c r="Z134" t="s">
        <v>53</v>
      </c>
      <c r="AA134" s="3">
        <v>0.18</v>
      </c>
      <c r="AB134">
        <v>33059090</v>
      </c>
      <c r="AC134">
        <v>1770</v>
      </c>
      <c r="AD134" t="s">
        <v>320</v>
      </c>
      <c r="AE134" t="s">
        <v>55</v>
      </c>
      <c r="AF134" t="s">
        <v>76</v>
      </c>
      <c r="AG134" t="s">
        <v>218</v>
      </c>
    </row>
    <row r="135" spans="1:33" x14ac:dyDescent="0.3">
      <c r="A135" t="s">
        <v>733</v>
      </c>
      <c r="B135" t="s">
        <v>868</v>
      </c>
      <c r="C135" s="1">
        <v>45124</v>
      </c>
      <c r="D135" s="1">
        <v>44361</v>
      </c>
      <c r="E135" t="s">
        <v>869</v>
      </c>
      <c r="F135" t="s">
        <v>870</v>
      </c>
      <c r="G135" t="s">
        <v>871</v>
      </c>
      <c r="H135" t="s">
        <v>62</v>
      </c>
      <c r="I135" t="s">
        <v>175</v>
      </c>
      <c r="J135" t="s">
        <v>139</v>
      </c>
      <c r="K135" t="s">
        <v>41</v>
      </c>
      <c r="L135" t="s">
        <v>42</v>
      </c>
      <c r="M135" t="s">
        <v>164</v>
      </c>
      <c r="N135" t="s">
        <v>309</v>
      </c>
      <c r="O135" t="s">
        <v>539</v>
      </c>
      <c r="P135" t="s">
        <v>79</v>
      </c>
      <c r="Q135" t="s">
        <v>540</v>
      </c>
      <c r="R135" t="s">
        <v>107</v>
      </c>
      <c r="S135" t="s">
        <v>49</v>
      </c>
      <c r="T135" t="s">
        <v>208</v>
      </c>
      <c r="U135" t="s">
        <v>51</v>
      </c>
      <c r="V135">
        <v>10</v>
      </c>
      <c r="W135" t="s">
        <v>52</v>
      </c>
      <c r="X135">
        <v>200</v>
      </c>
      <c r="Y135" s="2">
        <v>2000</v>
      </c>
      <c r="Z135" t="s">
        <v>53</v>
      </c>
      <c r="AA135" s="3">
        <v>0.18</v>
      </c>
      <c r="AB135">
        <v>33049930</v>
      </c>
      <c r="AC135">
        <v>360</v>
      </c>
      <c r="AD135" t="s">
        <v>468</v>
      </c>
      <c r="AE135" t="s">
        <v>75</v>
      </c>
      <c r="AF135" t="s">
        <v>109</v>
      </c>
      <c r="AG135" t="s">
        <v>158</v>
      </c>
    </row>
    <row r="136" spans="1:33" x14ac:dyDescent="0.3">
      <c r="A136" t="s">
        <v>733</v>
      </c>
      <c r="B136" t="s">
        <v>872</v>
      </c>
      <c r="C136" s="1">
        <v>45132</v>
      </c>
      <c r="D136" s="1">
        <v>44362</v>
      </c>
      <c r="E136" t="s">
        <v>873</v>
      </c>
      <c r="F136" t="s">
        <v>874</v>
      </c>
      <c r="G136" t="s">
        <v>875</v>
      </c>
      <c r="H136" t="s">
        <v>138</v>
      </c>
      <c r="I136" t="s">
        <v>185</v>
      </c>
      <c r="J136" t="s">
        <v>89</v>
      </c>
      <c r="K136" t="s">
        <v>65</v>
      </c>
      <c r="L136" t="s">
        <v>253</v>
      </c>
      <c r="M136" t="s">
        <v>176</v>
      </c>
      <c r="N136" t="s">
        <v>594</v>
      </c>
      <c r="O136" t="s">
        <v>132</v>
      </c>
      <c r="P136" t="s">
        <v>79</v>
      </c>
      <c r="Q136" t="s">
        <v>133</v>
      </c>
      <c r="R136" t="s">
        <v>48</v>
      </c>
      <c r="S136" t="s">
        <v>71</v>
      </c>
      <c r="T136" t="s">
        <v>50</v>
      </c>
      <c r="U136" t="s">
        <v>51</v>
      </c>
      <c r="V136">
        <v>10</v>
      </c>
      <c r="W136" t="s">
        <v>52</v>
      </c>
      <c r="X136" s="2">
        <v>112682</v>
      </c>
      <c r="Y136" s="2">
        <v>1126820</v>
      </c>
      <c r="Z136" t="s">
        <v>53</v>
      </c>
      <c r="AA136" s="3">
        <v>0.18</v>
      </c>
      <c r="AB136">
        <v>33041000</v>
      </c>
      <c r="AC136">
        <v>202830</v>
      </c>
      <c r="AD136" t="s">
        <v>157</v>
      </c>
      <c r="AE136" t="s">
        <v>180</v>
      </c>
      <c r="AF136" t="s">
        <v>56</v>
      </c>
      <c r="AG136" t="s">
        <v>97</v>
      </c>
    </row>
    <row r="137" spans="1:33" x14ac:dyDescent="0.3">
      <c r="A137" t="s">
        <v>733</v>
      </c>
      <c r="B137" t="s">
        <v>876</v>
      </c>
      <c r="C137" s="1">
        <v>45130</v>
      </c>
      <c r="D137" s="1">
        <v>44363</v>
      </c>
      <c r="E137" t="s">
        <v>877</v>
      </c>
      <c r="F137" t="s">
        <v>878</v>
      </c>
      <c r="G137" t="s">
        <v>879</v>
      </c>
      <c r="H137" t="s">
        <v>174</v>
      </c>
      <c r="I137" t="s">
        <v>39</v>
      </c>
      <c r="J137" t="s">
        <v>186</v>
      </c>
      <c r="K137" t="s">
        <v>41</v>
      </c>
      <c r="L137" t="s">
        <v>117</v>
      </c>
      <c r="M137" t="s">
        <v>118</v>
      </c>
      <c r="N137" t="s">
        <v>119</v>
      </c>
      <c r="O137" t="s">
        <v>130</v>
      </c>
      <c r="P137" t="s">
        <v>79</v>
      </c>
      <c r="Q137" t="s">
        <v>131</v>
      </c>
      <c r="R137" t="s">
        <v>48</v>
      </c>
      <c r="S137" t="s">
        <v>123</v>
      </c>
      <c r="T137" t="s">
        <v>72</v>
      </c>
      <c r="U137" t="s">
        <v>73</v>
      </c>
      <c r="V137">
        <v>10</v>
      </c>
      <c r="W137" t="s">
        <v>52</v>
      </c>
      <c r="X137">
        <v>251</v>
      </c>
      <c r="Y137" s="2">
        <v>2510</v>
      </c>
      <c r="Z137" t="s">
        <v>53</v>
      </c>
      <c r="AA137" s="3">
        <v>0.18</v>
      </c>
      <c r="AB137">
        <v>33071010</v>
      </c>
      <c r="AC137">
        <v>450</v>
      </c>
      <c r="AD137" t="s">
        <v>95</v>
      </c>
      <c r="AE137" t="s">
        <v>145</v>
      </c>
      <c r="AF137" t="s">
        <v>56</v>
      </c>
      <c r="AG137" t="s">
        <v>361</v>
      </c>
    </row>
    <row r="138" spans="1:33" x14ac:dyDescent="0.3">
      <c r="A138" t="s">
        <v>733</v>
      </c>
      <c r="B138" t="s">
        <v>880</v>
      </c>
      <c r="C138" s="1">
        <v>45150</v>
      </c>
      <c r="D138" s="1">
        <v>44364</v>
      </c>
      <c r="E138" t="s">
        <v>881</v>
      </c>
      <c r="F138" t="s">
        <v>882</v>
      </c>
      <c r="G138" t="s">
        <v>883</v>
      </c>
      <c r="H138" t="s">
        <v>150</v>
      </c>
      <c r="I138" t="s">
        <v>63</v>
      </c>
      <c r="J138" t="s">
        <v>102</v>
      </c>
      <c r="K138" t="s">
        <v>65</v>
      </c>
      <c r="L138" t="s">
        <v>42</v>
      </c>
      <c r="M138" t="s">
        <v>195</v>
      </c>
      <c r="N138" t="s">
        <v>347</v>
      </c>
      <c r="O138" t="s">
        <v>128</v>
      </c>
      <c r="P138" t="s">
        <v>79</v>
      </c>
      <c r="Q138" t="s">
        <v>129</v>
      </c>
      <c r="R138" t="s">
        <v>122</v>
      </c>
      <c r="S138" t="s">
        <v>49</v>
      </c>
      <c r="T138" t="s">
        <v>178</v>
      </c>
      <c r="U138" t="s">
        <v>51</v>
      </c>
      <c r="V138">
        <v>10</v>
      </c>
      <c r="W138" t="s">
        <v>52</v>
      </c>
      <c r="X138" s="2">
        <v>12475</v>
      </c>
      <c r="Y138" s="2">
        <v>124750</v>
      </c>
      <c r="Z138" t="s">
        <v>53</v>
      </c>
      <c r="AA138" s="3">
        <v>0.18</v>
      </c>
      <c r="AB138">
        <v>33030050</v>
      </c>
      <c r="AC138">
        <v>22450</v>
      </c>
      <c r="AD138" t="s">
        <v>217</v>
      </c>
      <c r="AE138" t="s">
        <v>126</v>
      </c>
      <c r="AF138" t="s">
        <v>76</v>
      </c>
      <c r="AG138" t="s">
        <v>57</v>
      </c>
    </row>
    <row r="139" spans="1:33" x14ac:dyDescent="0.3">
      <c r="A139" t="s">
        <v>733</v>
      </c>
      <c r="B139" t="s">
        <v>884</v>
      </c>
      <c r="C139" s="1">
        <v>45130</v>
      </c>
      <c r="D139" s="1">
        <v>44365</v>
      </c>
      <c r="E139" t="s">
        <v>885</v>
      </c>
      <c r="F139" t="s">
        <v>886</v>
      </c>
      <c r="G139" t="s">
        <v>887</v>
      </c>
      <c r="H139" t="s">
        <v>62</v>
      </c>
      <c r="I139" t="s">
        <v>63</v>
      </c>
      <c r="J139" t="s">
        <v>243</v>
      </c>
      <c r="K139" t="s">
        <v>65</v>
      </c>
      <c r="L139" t="s">
        <v>117</v>
      </c>
      <c r="M139" t="s">
        <v>694</v>
      </c>
      <c r="N139" t="s">
        <v>695</v>
      </c>
      <c r="O139" t="s">
        <v>120</v>
      </c>
      <c r="P139" t="s">
        <v>79</v>
      </c>
      <c r="Q139" t="s">
        <v>121</v>
      </c>
      <c r="R139" t="s">
        <v>122</v>
      </c>
      <c r="S139" t="s">
        <v>123</v>
      </c>
      <c r="T139" t="s">
        <v>124</v>
      </c>
      <c r="U139" t="s">
        <v>73</v>
      </c>
      <c r="V139">
        <v>10</v>
      </c>
      <c r="W139" t="s">
        <v>52</v>
      </c>
      <c r="X139" s="2">
        <v>16992</v>
      </c>
      <c r="Y139" s="2">
        <v>169920</v>
      </c>
      <c r="Z139" t="s">
        <v>53</v>
      </c>
      <c r="AA139" s="3">
        <v>0.18</v>
      </c>
      <c r="AB139">
        <v>33013091</v>
      </c>
      <c r="AC139">
        <v>30590</v>
      </c>
      <c r="AD139" t="s">
        <v>108</v>
      </c>
      <c r="AE139" t="s">
        <v>209</v>
      </c>
      <c r="AF139" t="s">
        <v>109</v>
      </c>
      <c r="AG139" t="s">
        <v>77</v>
      </c>
    </row>
    <row r="140" spans="1:33" x14ac:dyDescent="0.3">
      <c r="A140" t="s">
        <v>733</v>
      </c>
      <c r="B140" t="s">
        <v>888</v>
      </c>
      <c r="C140" s="1">
        <v>45209</v>
      </c>
      <c r="D140" s="1">
        <v>44367</v>
      </c>
      <c r="E140" t="s">
        <v>889</v>
      </c>
      <c r="F140" t="s">
        <v>890</v>
      </c>
      <c r="G140" t="s">
        <v>891</v>
      </c>
      <c r="H140" t="s">
        <v>138</v>
      </c>
      <c r="I140" t="s">
        <v>39</v>
      </c>
      <c r="J140" t="s">
        <v>116</v>
      </c>
      <c r="K140" t="s">
        <v>194</v>
      </c>
      <c r="L140" t="s">
        <v>187</v>
      </c>
      <c r="M140" t="s">
        <v>90</v>
      </c>
      <c r="N140" t="s">
        <v>214</v>
      </c>
      <c r="O140" t="s">
        <v>453</v>
      </c>
      <c r="P140" t="s">
        <v>276</v>
      </c>
      <c r="Q140" t="s">
        <v>454</v>
      </c>
      <c r="R140" t="s">
        <v>48</v>
      </c>
      <c r="S140" t="s">
        <v>188</v>
      </c>
      <c r="T140" t="s">
        <v>72</v>
      </c>
      <c r="U140" t="s">
        <v>73</v>
      </c>
      <c r="V140">
        <v>10</v>
      </c>
      <c r="W140" t="s">
        <v>52</v>
      </c>
      <c r="X140">
        <v>212</v>
      </c>
      <c r="Y140" s="2">
        <v>2120</v>
      </c>
      <c r="Z140" t="s">
        <v>53</v>
      </c>
      <c r="AA140" s="3">
        <v>0.18</v>
      </c>
      <c r="AB140">
        <v>33051010</v>
      </c>
      <c r="AC140">
        <v>380</v>
      </c>
      <c r="AD140" t="s">
        <v>189</v>
      </c>
      <c r="AE140" t="s">
        <v>55</v>
      </c>
      <c r="AF140" t="s">
        <v>56</v>
      </c>
      <c r="AG140" t="s">
        <v>127</v>
      </c>
    </row>
    <row r="141" spans="1:33" x14ac:dyDescent="0.3">
      <c r="A141" t="s">
        <v>733</v>
      </c>
      <c r="B141" t="s">
        <v>892</v>
      </c>
      <c r="C141" s="1">
        <v>45134</v>
      </c>
      <c r="D141" s="1">
        <v>44368</v>
      </c>
      <c r="E141" t="s">
        <v>893</v>
      </c>
      <c r="F141" t="s">
        <v>894</v>
      </c>
      <c r="G141" t="s">
        <v>895</v>
      </c>
      <c r="H141" t="s">
        <v>174</v>
      </c>
      <c r="I141" t="s">
        <v>63</v>
      </c>
      <c r="J141" t="s">
        <v>441</v>
      </c>
      <c r="K141" t="s">
        <v>41</v>
      </c>
      <c r="L141" t="s">
        <v>42</v>
      </c>
      <c r="M141" t="s">
        <v>43</v>
      </c>
      <c r="N141" t="s">
        <v>896</v>
      </c>
      <c r="O141" t="s">
        <v>331</v>
      </c>
      <c r="P141" t="s">
        <v>276</v>
      </c>
      <c r="Q141" t="s">
        <v>332</v>
      </c>
      <c r="R141" t="s">
        <v>48</v>
      </c>
      <c r="S141" t="s">
        <v>49</v>
      </c>
      <c r="T141" t="s">
        <v>178</v>
      </c>
      <c r="U141" t="s">
        <v>144</v>
      </c>
      <c r="V141">
        <v>10</v>
      </c>
      <c r="W141" t="s">
        <v>52</v>
      </c>
      <c r="X141" s="2">
        <v>6883</v>
      </c>
      <c r="Y141" s="2">
        <v>68830</v>
      </c>
      <c r="Z141" t="s">
        <v>53</v>
      </c>
      <c r="AA141" s="3">
        <v>0.18</v>
      </c>
      <c r="AB141">
        <v>33059090</v>
      </c>
      <c r="AC141">
        <v>12390</v>
      </c>
      <c r="AD141" t="s">
        <v>54</v>
      </c>
      <c r="AE141" t="s">
        <v>75</v>
      </c>
      <c r="AF141" t="s">
        <v>56</v>
      </c>
      <c r="AG141" t="s">
        <v>57</v>
      </c>
    </row>
    <row r="142" spans="1:33" x14ac:dyDescent="0.3">
      <c r="A142" t="s">
        <v>733</v>
      </c>
      <c r="B142" t="s">
        <v>897</v>
      </c>
      <c r="C142" s="1">
        <v>45223</v>
      </c>
      <c r="D142" s="1">
        <v>44369</v>
      </c>
      <c r="E142" t="s">
        <v>898</v>
      </c>
      <c r="F142" t="s">
        <v>899</v>
      </c>
      <c r="G142" t="s">
        <v>900</v>
      </c>
      <c r="H142" t="s">
        <v>150</v>
      </c>
      <c r="I142" t="s">
        <v>39</v>
      </c>
      <c r="J142" t="s">
        <v>346</v>
      </c>
      <c r="K142" t="s">
        <v>65</v>
      </c>
      <c r="L142" t="s">
        <v>253</v>
      </c>
      <c r="M142" t="s">
        <v>66</v>
      </c>
      <c r="N142" t="s">
        <v>638</v>
      </c>
      <c r="O142" t="s">
        <v>614</v>
      </c>
      <c r="P142" t="s">
        <v>276</v>
      </c>
      <c r="Q142" t="s">
        <v>615</v>
      </c>
      <c r="R142" t="s">
        <v>70</v>
      </c>
      <c r="S142" t="s">
        <v>71</v>
      </c>
      <c r="T142" t="s">
        <v>124</v>
      </c>
      <c r="U142" t="s">
        <v>168</v>
      </c>
      <c r="V142">
        <v>10</v>
      </c>
      <c r="W142" t="s">
        <v>52</v>
      </c>
      <c r="X142" s="2">
        <v>6883</v>
      </c>
      <c r="Y142" s="2">
        <v>68830</v>
      </c>
      <c r="Z142" t="s">
        <v>53</v>
      </c>
      <c r="AA142" s="3">
        <v>0.18</v>
      </c>
      <c r="AB142">
        <v>33049930</v>
      </c>
      <c r="AC142">
        <v>12390</v>
      </c>
      <c r="AD142" t="s">
        <v>74</v>
      </c>
      <c r="AE142" t="s">
        <v>180</v>
      </c>
      <c r="AF142" t="s">
        <v>56</v>
      </c>
      <c r="AG142" t="s">
        <v>77</v>
      </c>
    </row>
    <row r="143" spans="1:33" x14ac:dyDescent="0.3">
      <c r="A143" t="s">
        <v>733</v>
      </c>
      <c r="B143" t="s">
        <v>901</v>
      </c>
      <c r="C143" s="1">
        <v>45138</v>
      </c>
      <c r="D143" s="1">
        <v>44370</v>
      </c>
      <c r="E143" t="s">
        <v>902</v>
      </c>
      <c r="F143" t="s">
        <v>903</v>
      </c>
      <c r="G143" t="s">
        <v>904</v>
      </c>
      <c r="H143" t="s">
        <v>138</v>
      </c>
      <c r="I143" t="s">
        <v>39</v>
      </c>
      <c r="J143" t="s">
        <v>358</v>
      </c>
      <c r="K143" t="s">
        <v>65</v>
      </c>
      <c r="L143" t="s">
        <v>152</v>
      </c>
      <c r="M143" t="s">
        <v>235</v>
      </c>
      <c r="N143" t="s">
        <v>236</v>
      </c>
      <c r="O143" t="s">
        <v>329</v>
      </c>
      <c r="P143" t="s">
        <v>276</v>
      </c>
      <c r="Q143" t="s">
        <v>330</v>
      </c>
      <c r="R143" t="s">
        <v>70</v>
      </c>
      <c r="S143" t="s">
        <v>155</v>
      </c>
      <c r="T143" t="s">
        <v>197</v>
      </c>
      <c r="U143" t="s">
        <v>51</v>
      </c>
      <c r="V143">
        <v>10</v>
      </c>
      <c r="W143" t="s">
        <v>52</v>
      </c>
      <c r="X143" s="2">
        <v>6883</v>
      </c>
      <c r="Y143" s="2">
        <v>68830</v>
      </c>
      <c r="Z143" t="s">
        <v>53</v>
      </c>
      <c r="AA143" s="3">
        <v>0.18</v>
      </c>
      <c r="AB143">
        <v>33041000</v>
      </c>
      <c r="AC143">
        <v>12390</v>
      </c>
      <c r="AD143" t="s">
        <v>125</v>
      </c>
      <c r="AE143" t="s">
        <v>145</v>
      </c>
      <c r="AF143" t="s">
        <v>109</v>
      </c>
      <c r="AG143" t="s">
        <v>199</v>
      </c>
    </row>
    <row r="144" spans="1:33" x14ac:dyDescent="0.3">
      <c r="A144" t="s">
        <v>733</v>
      </c>
      <c r="B144" t="s">
        <v>905</v>
      </c>
      <c r="C144" s="1">
        <v>45142</v>
      </c>
      <c r="D144" s="1">
        <v>44373</v>
      </c>
      <c r="E144" t="s">
        <v>906</v>
      </c>
      <c r="F144" t="s">
        <v>907</v>
      </c>
      <c r="G144" t="s">
        <v>908</v>
      </c>
      <c r="H144" t="s">
        <v>174</v>
      </c>
      <c r="I144" t="s">
        <v>63</v>
      </c>
      <c r="J144" t="s">
        <v>151</v>
      </c>
      <c r="K144" t="s">
        <v>194</v>
      </c>
      <c r="L144" t="s">
        <v>42</v>
      </c>
      <c r="M144" t="s">
        <v>244</v>
      </c>
      <c r="N144" t="s">
        <v>245</v>
      </c>
      <c r="O144" t="s">
        <v>296</v>
      </c>
      <c r="P144" t="s">
        <v>276</v>
      </c>
      <c r="Q144" t="s">
        <v>297</v>
      </c>
      <c r="R144" t="s">
        <v>70</v>
      </c>
      <c r="S144" t="s">
        <v>49</v>
      </c>
      <c r="T144" t="s">
        <v>72</v>
      </c>
      <c r="U144" t="s">
        <v>51</v>
      </c>
      <c r="V144">
        <v>10</v>
      </c>
      <c r="W144" t="s">
        <v>52</v>
      </c>
      <c r="X144" s="2">
        <v>21330</v>
      </c>
      <c r="Y144" s="2">
        <v>213300</v>
      </c>
      <c r="Z144" t="s">
        <v>53</v>
      </c>
      <c r="AA144" s="3">
        <v>0.18</v>
      </c>
      <c r="AB144">
        <v>33051010</v>
      </c>
      <c r="AC144">
        <v>38390</v>
      </c>
      <c r="AD144" t="s">
        <v>157</v>
      </c>
      <c r="AE144" t="s">
        <v>145</v>
      </c>
      <c r="AF144" t="s">
        <v>109</v>
      </c>
      <c r="AG144" t="s">
        <v>158</v>
      </c>
    </row>
    <row r="145" spans="1:33" x14ac:dyDescent="0.3">
      <c r="A145" t="s">
        <v>733</v>
      </c>
      <c r="B145" t="s">
        <v>909</v>
      </c>
      <c r="C145" s="1">
        <v>45143</v>
      </c>
      <c r="D145" s="1">
        <v>44374</v>
      </c>
      <c r="E145" t="s">
        <v>910</v>
      </c>
      <c r="F145" t="s">
        <v>911</v>
      </c>
      <c r="G145" t="s">
        <v>912</v>
      </c>
      <c r="H145" t="s">
        <v>138</v>
      </c>
      <c r="I145" t="s">
        <v>175</v>
      </c>
      <c r="J145" t="s">
        <v>64</v>
      </c>
      <c r="K145" t="s">
        <v>65</v>
      </c>
      <c r="L145" t="s">
        <v>42</v>
      </c>
      <c r="M145" t="s">
        <v>66</v>
      </c>
      <c r="N145" t="s">
        <v>638</v>
      </c>
      <c r="O145" t="s">
        <v>543</v>
      </c>
      <c r="P145" t="s">
        <v>276</v>
      </c>
      <c r="Q145" t="s">
        <v>544</v>
      </c>
      <c r="R145" t="s">
        <v>94</v>
      </c>
      <c r="S145" t="s">
        <v>49</v>
      </c>
      <c r="T145" t="s">
        <v>178</v>
      </c>
      <c r="U145" t="s">
        <v>73</v>
      </c>
      <c r="V145">
        <v>10</v>
      </c>
      <c r="W145" t="s">
        <v>52</v>
      </c>
      <c r="X145">
        <v>115</v>
      </c>
      <c r="Y145" s="2">
        <v>1150</v>
      </c>
      <c r="Z145" t="s">
        <v>53</v>
      </c>
      <c r="AA145" s="3">
        <v>0.18</v>
      </c>
      <c r="AB145">
        <v>33059090</v>
      </c>
      <c r="AC145">
        <v>210</v>
      </c>
      <c r="AD145" t="s">
        <v>95</v>
      </c>
      <c r="AE145" t="s">
        <v>126</v>
      </c>
      <c r="AF145" t="s">
        <v>76</v>
      </c>
      <c r="AG145" t="s">
        <v>97</v>
      </c>
    </row>
    <row r="146" spans="1:33" x14ac:dyDescent="0.3">
      <c r="A146" t="s">
        <v>733</v>
      </c>
      <c r="B146" t="s">
        <v>913</v>
      </c>
      <c r="C146" s="1">
        <v>45146</v>
      </c>
      <c r="D146" s="1">
        <v>44376</v>
      </c>
      <c r="E146" t="s">
        <v>914</v>
      </c>
      <c r="F146" t="s">
        <v>915</v>
      </c>
      <c r="G146" t="s">
        <v>916</v>
      </c>
      <c r="H146" t="s">
        <v>174</v>
      </c>
      <c r="I146" t="s">
        <v>185</v>
      </c>
      <c r="J146" t="s">
        <v>358</v>
      </c>
      <c r="K146" t="s">
        <v>41</v>
      </c>
      <c r="L146" t="s">
        <v>253</v>
      </c>
      <c r="M146" t="s">
        <v>140</v>
      </c>
      <c r="N146" t="s">
        <v>141</v>
      </c>
      <c r="O146" t="s">
        <v>620</v>
      </c>
      <c r="P146" t="s">
        <v>276</v>
      </c>
      <c r="Q146" t="s">
        <v>621</v>
      </c>
      <c r="R146" t="s">
        <v>107</v>
      </c>
      <c r="S146" t="s">
        <v>71</v>
      </c>
      <c r="T146" t="s">
        <v>197</v>
      </c>
      <c r="U146" t="s">
        <v>51</v>
      </c>
      <c r="V146">
        <v>10</v>
      </c>
      <c r="W146" t="s">
        <v>52</v>
      </c>
      <c r="X146">
        <v>260</v>
      </c>
      <c r="Y146" s="2">
        <v>2600</v>
      </c>
      <c r="Z146" t="s">
        <v>53</v>
      </c>
      <c r="AA146" s="3">
        <v>0.18</v>
      </c>
      <c r="AB146">
        <v>33041000</v>
      </c>
      <c r="AC146">
        <v>470</v>
      </c>
      <c r="AD146" t="s">
        <v>108</v>
      </c>
      <c r="AE146" t="s">
        <v>55</v>
      </c>
      <c r="AF146" t="s">
        <v>76</v>
      </c>
      <c r="AG146" t="s">
        <v>57</v>
      </c>
    </row>
    <row r="147" spans="1:33" x14ac:dyDescent="0.3">
      <c r="A147" t="s">
        <v>733</v>
      </c>
      <c r="B147" t="s">
        <v>917</v>
      </c>
      <c r="C147" s="1">
        <v>45147</v>
      </c>
      <c r="D147" s="1">
        <v>44377</v>
      </c>
      <c r="E147" t="s">
        <v>918</v>
      </c>
      <c r="F147" t="s">
        <v>919</v>
      </c>
      <c r="G147" t="s">
        <v>920</v>
      </c>
      <c r="H147" t="s">
        <v>138</v>
      </c>
      <c r="I147" t="s">
        <v>185</v>
      </c>
      <c r="J147" t="s">
        <v>474</v>
      </c>
      <c r="K147" t="s">
        <v>194</v>
      </c>
      <c r="L147" t="s">
        <v>42</v>
      </c>
      <c r="M147" t="s">
        <v>235</v>
      </c>
      <c r="N147" t="s">
        <v>236</v>
      </c>
      <c r="O147" t="s">
        <v>501</v>
      </c>
      <c r="P147" t="s">
        <v>276</v>
      </c>
      <c r="Q147" t="s">
        <v>502</v>
      </c>
      <c r="R147" t="s">
        <v>48</v>
      </c>
      <c r="S147" t="s">
        <v>49</v>
      </c>
      <c r="T147" t="s">
        <v>50</v>
      </c>
      <c r="U147" t="s">
        <v>73</v>
      </c>
      <c r="V147">
        <v>20</v>
      </c>
      <c r="W147" t="s">
        <v>52</v>
      </c>
      <c r="X147" s="2">
        <v>48000</v>
      </c>
      <c r="Y147" s="2">
        <v>960000</v>
      </c>
      <c r="Z147" t="s">
        <v>53</v>
      </c>
      <c r="AA147" s="3">
        <v>0.18</v>
      </c>
      <c r="AB147">
        <v>33012948</v>
      </c>
      <c r="AC147">
        <v>172800</v>
      </c>
      <c r="AD147" t="s">
        <v>179</v>
      </c>
      <c r="AE147" t="s">
        <v>126</v>
      </c>
      <c r="AF147" t="s">
        <v>76</v>
      </c>
      <c r="AG147" t="s">
        <v>77</v>
      </c>
    </row>
    <row r="148" spans="1:33" x14ac:dyDescent="0.3">
      <c r="A148" t="s">
        <v>733</v>
      </c>
      <c r="B148" t="s">
        <v>921</v>
      </c>
      <c r="C148" s="1">
        <v>45152</v>
      </c>
      <c r="D148" s="1">
        <v>44381</v>
      </c>
      <c r="E148" t="s">
        <v>922</v>
      </c>
      <c r="F148" t="s">
        <v>923</v>
      </c>
      <c r="G148" t="s">
        <v>924</v>
      </c>
      <c r="H148" t="s">
        <v>38</v>
      </c>
      <c r="I148" t="s">
        <v>63</v>
      </c>
      <c r="J148" t="s">
        <v>186</v>
      </c>
      <c r="K148" t="s">
        <v>41</v>
      </c>
      <c r="L148" t="s">
        <v>42</v>
      </c>
      <c r="M148" t="s">
        <v>153</v>
      </c>
      <c r="N148" t="s">
        <v>420</v>
      </c>
      <c r="O148" t="s">
        <v>494</v>
      </c>
      <c r="P148" t="s">
        <v>276</v>
      </c>
      <c r="Q148" t="s">
        <v>495</v>
      </c>
      <c r="R148" t="s">
        <v>48</v>
      </c>
      <c r="S148" t="s">
        <v>49</v>
      </c>
      <c r="T148" t="s">
        <v>197</v>
      </c>
      <c r="U148" t="s">
        <v>73</v>
      </c>
      <c r="V148">
        <v>20</v>
      </c>
      <c r="W148" t="s">
        <v>52</v>
      </c>
      <c r="X148" s="2">
        <v>175000</v>
      </c>
      <c r="Y148" s="2">
        <v>3500000</v>
      </c>
      <c r="Z148" t="s">
        <v>53</v>
      </c>
      <c r="AA148" s="3">
        <v>0.18</v>
      </c>
      <c r="AB148">
        <v>33013091</v>
      </c>
      <c r="AC148">
        <v>630000</v>
      </c>
      <c r="AD148" t="s">
        <v>217</v>
      </c>
      <c r="AE148" t="s">
        <v>209</v>
      </c>
      <c r="AF148" t="s">
        <v>56</v>
      </c>
      <c r="AG148" t="s">
        <v>158</v>
      </c>
    </row>
    <row r="149" spans="1:33" x14ac:dyDescent="0.3">
      <c r="A149" t="s">
        <v>733</v>
      </c>
      <c r="B149" t="s">
        <v>925</v>
      </c>
      <c r="C149" s="1">
        <v>45147</v>
      </c>
      <c r="D149" s="1">
        <v>44382</v>
      </c>
      <c r="E149" t="s">
        <v>926</v>
      </c>
      <c r="F149" t="s">
        <v>927</v>
      </c>
      <c r="G149" t="s">
        <v>928</v>
      </c>
      <c r="H149" t="s">
        <v>62</v>
      </c>
      <c r="I149" t="s">
        <v>163</v>
      </c>
      <c r="J149" t="s">
        <v>139</v>
      </c>
      <c r="K149" t="s">
        <v>65</v>
      </c>
      <c r="L149" t="s">
        <v>117</v>
      </c>
      <c r="M149" t="s">
        <v>797</v>
      </c>
      <c r="N149" t="s">
        <v>929</v>
      </c>
      <c r="O149" t="s">
        <v>312</v>
      </c>
      <c r="P149" t="s">
        <v>247</v>
      </c>
      <c r="Q149" t="s">
        <v>313</v>
      </c>
      <c r="R149" t="s">
        <v>70</v>
      </c>
      <c r="S149" t="s">
        <v>123</v>
      </c>
      <c r="T149" t="s">
        <v>208</v>
      </c>
      <c r="U149" t="s">
        <v>144</v>
      </c>
      <c r="V149">
        <v>40</v>
      </c>
      <c r="W149" t="s">
        <v>52</v>
      </c>
      <c r="X149" s="2">
        <v>30000</v>
      </c>
      <c r="Y149" s="2">
        <v>1200000</v>
      </c>
      <c r="Z149" t="s">
        <v>53</v>
      </c>
      <c r="AA149" s="3">
        <v>0.18</v>
      </c>
      <c r="AB149">
        <v>33012948</v>
      </c>
      <c r="AC149">
        <v>216000</v>
      </c>
      <c r="AD149" t="s">
        <v>108</v>
      </c>
      <c r="AE149" t="s">
        <v>96</v>
      </c>
      <c r="AF149" t="s">
        <v>76</v>
      </c>
      <c r="AG149" t="s">
        <v>97</v>
      </c>
    </row>
    <row r="150" spans="1:33" x14ac:dyDescent="0.3">
      <c r="A150" t="s">
        <v>733</v>
      </c>
      <c r="B150" t="s">
        <v>930</v>
      </c>
      <c r="C150" s="1">
        <v>45269</v>
      </c>
      <c r="D150" s="1">
        <v>44404</v>
      </c>
      <c r="E150" t="s">
        <v>931</v>
      </c>
      <c r="F150" t="s">
        <v>932</v>
      </c>
      <c r="G150" t="s">
        <v>933</v>
      </c>
      <c r="H150" t="s">
        <v>138</v>
      </c>
      <c r="I150" t="s">
        <v>163</v>
      </c>
      <c r="J150" t="s">
        <v>346</v>
      </c>
      <c r="K150" t="s">
        <v>41</v>
      </c>
      <c r="L150" t="s">
        <v>253</v>
      </c>
      <c r="M150" t="s">
        <v>204</v>
      </c>
      <c r="N150" t="s">
        <v>205</v>
      </c>
      <c r="O150" t="s">
        <v>348</v>
      </c>
      <c r="P150" t="s">
        <v>247</v>
      </c>
      <c r="Q150" t="s">
        <v>349</v>
      </c>
      <c r="R150" t="s">
        <v>48</v>
      </c>
      <c r="S150" t="s">
        <v>71</v>
      </c>
      <c r="T150" t="s">
        <v>178</v>
      </c>
      <c r="U150" t="s">
        <v>73</v>
      </c>
      <c r="V150">
        <v>10</v>
      </c>
      <c r="W150" t="s">
        <v>52</v>
      </c>
      <c r="X150">
        <v>558</v>
      </c>
      <c r="Y150" s="2">
        <v>5580</v>
      </c>
      <c r="Z150" t="s">
        <v>53</v>
      </c>
      <c r="AA150" s="3">
        <v>0.18</v>
      </c>
      <c r="AB150">
        <v>33030050</v>
      </c>
      <c r="AC150">
        <v>1000</v>
      </c>
      <c r="AD150" t="s">
        <v>217</v>
      </c>
      <c r="AE150" t="s">
        <v>126</v>
      </c>
      <c r="AF150" t="s">
        <v>109</v>
      </c>
      <c r="AG150" t="s">
        <v>57</v>
      </c>
    </row>
    <row r="151" spans="1:33" x14ac:dyDescent="0.3">
      <c r="A151" t="s">
        <v>733</v>
      </c>
      <c r="B151" t="s">
        <v>934</v>
      </c>
      <c r="C151" s="1">
        <v>45182</v>
      </c>
      <c r="D151" s="1">
        <v>44405</v>
      </c>
      <c r="E151" t="s">
        <v>935</v>
      </c>
      <c r="F151" t="s">
        <v>936</v>
      </c>
      <c r="G151" t="s">
        <v>937</v>
      </c>
      <c r="H151" t="s">
        <v>38</v>
      </c>
      <c r="I151" t="s">
        <v>63</v>
      </c>
      <c r="J151" t="s">
        <v>243</v>
      </c>
      <c r="K151" t="s">
        <v>41</v>
      </c>
      <c r="L151" t="s">
        <v>152</v>
      </c>
      <c r="M151" t="s">
        <v>694</v>
      </c>
      <c r="N151" t="s">
        <v>695</v>
      </c>
      <c r="O151" t="s">
        <v>364</v>
      </c>
      <c r="P151" t="s">
        <v>338</v>
      </c>
      <c r="Q151" t="s">
        <v>365</v>
      </c>
      <c r="R151" t="s">
        <v>122</v>
      </c>
      <c r="S151" t="s">
        <v>155</v>
      </c>
      <c r="T151" t="s">
        <v>124</v>
      </c>
      <c r="U151" t="s">
        <v>51</v>
      </c>
      <c r="V151">
        <v>10</v>
      </c>
      <c r="W151" t="s">
        <v>52</v>
      </c>
      <c r="X151" s="2">
        <v>4095</v>
      </c>
      <c r="Y151" s="2">
        <v>40950</v>
      </c>
      <c r="Z151" t="s">
        <v>53</v>
      </c>
      <c r="AA151" s="3">
        <v>0.18</v>
      </c>
      <c r="AB151">
        <v>33051010</v>
      </c>
      <c r="AC151">
        <v>7370</v>
      </c>
      <c r="AD151" t="s">
        <v>108</v>
      </c>
      <c r="AE151" t="s">
        <v>180</v>
      </c>
      <c r="AF151" t="s">
        <v>109</v>
      </c>
      <c r="AG151" t="s">
        <v>77</v>
      </c>
    </row>
    <row r="152" spans="1:33" x14ac:dyDescent="0.3">
      <c r="A152" t="s">
        <v>733</v>
      </c>
      <c r="B152" t="s">
        <v>938</v>
      </c>
      <c r="C152" s="1">
        <v>45202</v>
      </c>
      <c r="D152" s="1">
        <v>44422</v>
      </c>
      <c r="E152" t="s">
        <v>939</v>
      </c>
      <c r="F152" t="s">
        <v>940</v>
      </c>
      <c r="G152" t="s">
        <v>941</v>
      </c>
      <c r="H152" t="s">
        <v>138</v>
      </c>
      <c r="I152" t="s">
        <v>163</v>
      </c>
      <c r="J152" t="s">
        <v>102</v>
      </c>
      <c r="K152" t="s">
        <v>65</v>
      </c>
      <c r="L152" t="s">
        <v>253</v>
      </c>
      <c r="M152" t="s">
        <v>153</v>
      </c>
      <c r="N152" t="s">
        <v>154</v>
      </c>
      <c r="O152" t="s">
        <v>412</v>
      </c>
      <c r="P152" t="s">
        <v>338</v>
      </c>
      <c r="Q152" t="s">
        <v>413</v>
      </c>
      <c r="R152" t="s">
        <v>70</v>
      </c>
      <c r="S152" t="s">
        <v>71</v>
      </c>
      <c r="T152" t="s">
        <v>178</v>
      </c>
      <c r="U152" t="s">
        <v>51</v>
      </c>
      <c r="V152">
        <v>400</v>
      </c>
      <c r="W152" t="s">
        <v>52</v>
      </c>
      <c r="X152">
        <v>168</v>
      </c>
      <c r="Y152" s="2">
        <v>67100</v>
      </c>
      <c r="Z152" t="s">
        <v>53</v>
      </c>
      <c r="AA152" s="3">
        <v>0.18</v>
      </c>
      <c r="AB152">
        <v>33071010</v>
      </c>
      <c r="AC152">
        <v>12080</v>
      </c>
      <c r="AD152" t="s">
        <v>108</v>
      </c>
      <c r="AE152" t="s">
        <v>180</v>
      </c>
      <c r="AF152" t="s">
        <v>76</v>
      </c>
      <c r="AG152" t="s">
        <v>199</v>
      </c>
    </row>
    <row r="153" spans="1:33" x14ac:dyDescent="0.3">
      <c r="A153" t="s">
        <v>733</v>
      </c>
      <c r="B153" t="s">
        <v>942</v>
      </c>
      <c r="C153" s="1">
        <v>45231</v>
      </c>
      <c r="D153" s="1">
        <v>44423</v>
      </c>
      <c r="E153" t="s">
        <v>943</v>
      </c>
      <c r="F153" t="s">
        <v>944</v>
      </c>
      <c r="G153" t="s">
        <v>945</v>
      </c>
      <c r="H153" t="s">
        <v>174</v>
      </c>
      <c r="I153" t="s">
        <v>163</v>
      </c>
      <c r="J153" t="s">
        <v>234</v>
      </c>
      <c r="K153" t="s">
        <v>41</v>
      </c>
      <c r="L153" t="s">
        <v>117</v>
      </c>
      <c r="M153" t="s">
        <v>153</v>
      </c>
      <c r="N153" t="s">
        <v>154</v>
      </c>
      <c r="O153" t="s">
        <v>401</v>
      </c>
      <c r="P153" t="s">
        <v>338</v>
      </c>
      <c r="Q153" t="s">
        <v>402</v>
      </c>
      <c r="R153" t="s">
        <v>70</v>
      </c>
      <c r="S153" t="s">
        <v>123</v>
      </c>
      <c r="T153" t="s">
        <v>124</v>
      </c>
      <c r="U153" t="s">
        <v>73</v>
      </c>
      <c r="V153">
        <v>400</v>
      </c>
      <c r="W153" t="s">
        <v>52</v>
      </c>
      <c r="X153" s="2">
        <v>3689</v>
      </c>
      <c r="Y153" s="2">
        <v>1475760</v>
      </c>
      <c r="Z153" t="s">
        <v>53</v>
      </c>
      <c r="AA153" s="3">
        <v>0.18</v>
      </c>
      <c r="AB153">
        <v>33030050</v>
      </c>
      <c r="AC153">
        <v>265640</v>
      </c>
      <c r="AD153" t="s">
        <v>179</v>
      </c>
      <c r="AE153" t="s">
        <v>145</v>
      </c>
      <c r="AF153" t="s">
        <v>109</v>
      </c>
      <c r="AG153" t="s">
        <v>127</v>
      </c>
    </row>
    <row r="154" spans="1:33" x14ac:dyDescent="0.3">
      <c r="A154" t="s">
        <v>733</v>
      </c>
      <c r="B154" t="s">
        <v>946</v>
      </c>
      <c r="C154" s="1">
        <v>45200</v>
      </c>
      <c r="D154" s="1">
        <v>44424</v>
      </c>
      <c r="E154" t="s">
        <v>947</v>
      </c>
      <c r="F154" t="s">
        <v>948</v>
      </c>
      <c r="G154" t="s">
        <v>949</v>
      </c>
      <c r="H154" t="s">
        <v>150</v>
      </c>
      <c r="I154" t="s">
        <v>63</v>
      </c>
      <c r="J154" t="s">
        <v>40</v>
      </c>
      <c r="K154" t="s">
        <v>65</v>
      </c>
      <c r="L154" t="s">
        <v>42</v>
      </c>
      <c r="M154" t="s">
        <v>153</v>
      </c>
      <c r="N154" t="s">
        <v>154</v>
      </c>
      <c r="O154" t="s">
        <v>403</v>
      </c>
      <c r="P154" t="s">
        <v>338</v>
      </c>
      <c r="Q154" t="s">
        <v>404</v>
      </c>
      <c r="R154" t="s">
        <v>70</v>
      </c>
      <c r="S154" t="s">
        <v>49</v>
      </c>
      <c r="T154" t="s">
        <v>197</v>
      </c>
      <c r="U154" t="s">
        <v>51</v>
      </c>
      <c r="V154">
        <v>450</v>
      </c>
      <c r="W154" t="s">
        <v>52</v>
      </c>
      <c r="X154">
        <v>116</v>
      </c>
      <c r="Y154" s="2">
        <v>52160</v>
      </c>
      <c r="Z154" t="s">
        <v>53</v>
      </c>
      <c r="AA154" s="3">
        <v>0.18</v>
      </c>
      <c r="AB154">
        <v>33051010</v>
      </c>
      <c r="AC154">
        <v>9390</v>
      </c>
      <c r="AD154" t="s">
        <v>189</v>
      </c>
      <c r="AE154" t="s">
        <v>126</v>
      </c>
      <c r="AF154" t="s">
        <v>56</v>
      </c>
      <c r="AG154" t="s">
        <v>57</v>
      </c>
    </row>
    <row r="155" spans="1:33" x14ac:dyDescent="0.3">
      <c r="A155" t="s">
        <v>733</v>
      </c>
      <c r="B155" t="s">
        <v>950</v>
      </c>
      <c r="C155" s="1">
        <v>45223</v>
      </c>
      <c r="D155" s="1">
        <v>44425</v>
      </c>
      <c r="E155" t="s">
        <v>951</v>
      </c>
      <c r="F155" t="s">
        <v>952</v>
      </c>
      <c r="G155" t="s">
        <v>953</v>
      </c>
      <c r="H155" t="s">
        <v>38</v>
      </c>
      <c r="I155" t="s">
        <v>163</v>
      </c>
      <c r="J155" t="s">
        <v>64</v>
      </c>
      <c r="K155" t="s">
        <v>194</v>
      </c>
      <c r="L155" t="s">
        <v>253</v>
      </c>
      <c r="M155" t="s">
        <v>153</v>
      </c>
      <c r="N155" t="s">
        <v>154</v>
      </c>
      <c r="O155" t="s">
        <v>444</v>
      </c>
      <c r="P155" t="s">
        <v>46</v>
      </c>
      <c r="Q155" t="s">
        <v>445</v>
      </c>
      <c r="R155" t="s">
        <v>70</v>
      </c>
      <c r="S155" t="s">
        <v>71</v>
      </c>
      <c r="T155" t="s">
        <v>208</v>
      </c>
      <c r="U155" t="s">
        <v>73</v>
      </c>
      <c r="V155">
        <v>255</v>
      </c>
      <c r="W155" t="s">
        <v>52</v>
      </c>
      <c r="X155">
        <v>558</v>
      </c>
      <c r="Y155" s="2">
        <v>142330</v>
      </c>
      <c r="Z155" t="s">
        <v>53</v>
      </c>
      <c r="AA155" s="3">
        <v>0.18</v>
      </c>
      <c r="AB155">
        <v>33059090</v>
      </c>
      <c r="AC155">
        <v>25620</v>
      </c>
      <c r="AD155" t="s">
        <v>157</v>
      </c>
      <c r="AE155" t="s">
        <v>209</v>
      </c>
      <c r="AF155" t="s">
        <v>76</v>
      </c>
      <c r="AG155" t="s">
        <v>77</v>
      </c>
    </row>
    <row r="156" spans="1:33" x14ac:dyDescent="0.3">
      <c r="A156" t="s">
        <v>733</v>
      </c>
      <c r="B156" t="s">
        <v>954</v>
      </c>
      <c r="C156" s="1">
        <v>45191</v>
      </c>
      <c r="D156" s="1">
        <v>44426</v>
      </c>
      <c r="E156" t="s">
        <v>955</v>
      </c>
      <c r="F156" t="s">
        <v>956</v>
      </c>
      <c r="G156" t="s">
        <v>957</v>
      </c>
      <c r="H156" t="s">
        <v>62</v>
      </c>
      <c r="I156" t="s">
        <v>39</v>
      </c>
      <c r="J156" t="s">
        <v>358</v>
      </c>
      <c r="K156" t="s">
        <v>41</v>
      </c>
      <c r="L156" t="s">
        <v>117</v>
      </c>
      <c r="M156" t="s">
        <v>244</v>
      </c>
      <c r="N156" t="s">
        <v>572</v>
      </c>
      <c r="O156" t="s">
        <v>442</v>
      </c>
      <c r="P156" t="s">
        <v>46</v>
      </c>
      <c r="Q156" t="s">
        <v>443</v>
      </c>
      <c r="R156" t="s">
        <v>94</v>
      </c>
      <c r="S156" t="s">
        <v>123</v>
      </c>
      <c r="T156" t="s">
        <v>50</v>
      </c>
      <c r="U156" t="s">
        <v>144</v>
      </c>
      <c r="V156">
        <v>255</v>
      </c>
      <c r="W156" t="s">
        <v>52</v>
      </c>
      <c r="X156" s="2">
        <v>8424</v>
      </c>
      <c r="Y156" s="2">
        <v>2148120</v>
      </c>
      <c r="Z156" t="s">
        <v>53</v>
      </c>
      <c r="AA156" s="3">
        <v>0.18</v>
      </c>
      <c r="AB156">
        <v>33049930</v>
      </c>
      <c r="AC156">
        <v>386660</v>
      </c>
      <c r="AD156" t="s">
        <v>95</v>
      </c>
      <c r="AE156" t="s">
        <v>96</v>
      </c>
      <c r="AF156" t="s">
        <v>109</v>
      </c>
      <c r="AG156" t="s">
        <v>199</v>
      </c>
    </row>
    <row r="157" spans="1:33" x14ac:dyDescent="0.3">
      <c r="A157" t="s">
        <v>733</v>
      </c>
      <c r="B157" t="s">
        <v>958</v>
      </c>
      <c r="C157" s="1">
        <v>45192</v>
      </c>
      <c r="D157" s="1">
        <v>44426</v>
      </c>
      <c r="E157" t="s">
        <v>959</v>
      </c>
      <c r="F157" t="s">
        <v>960</v>
      </c>
      <c r="G157" t="s">
        <v>961</v>
      </c>
      <c r="H157" t="s">
        <v>138</v>
      </c>
      <c r="I157" t="s">
        <v>63</v>
      </c>
      <c r="J157" t="s">
        <v>151</v>
      </c>
      <c r="K157" t="s">
        <v>65</v>
      </c>
      <c r="L157" t="s">
        <v>187</v>
      </c>
      <c r="M157" t="s">
        <v>244</v>
      </c>
      <c r="N157" t="s">
        <v>572</v>
      </c>
      <c r="O157" t="s">
        <v>460</v>
      </c>
      <c r="P157" t="s">
        <v>46</v>
      </c>
      <c r="Q157" t="s">
        <v>461</v>
      </c>
      <c r="R157" t="s">
        <v>107</v>
      </c>
      <c r="S157" t="s">
        <v>188</v>
      </c>
      <c r="T157" t="s">
        <v>72</v>
      </c>
      <c r="U157" t="s">
        <v>51</v>
      </c>
      <c r="V157">
        <v>255</v>
      </c>
      <c r="W157" t="s">
        <v>52</v>
      </c>
      <c r="X157">
        <v>250</v>
      </c>
      <c r="Y157" s="2">
        <v>63650</v>
      </c>
      <c r="Z157" t="s">
        <v>53</v>
      </c>
      <c r="AA157" s="3">
        <v>0.18</v>
      </c>
      <c r="AB157">
        <v>33041000</v>
      </c>
      <c r="AC157">
        <v>11460</v>
      </c>
      <c r="AD157" t="s">
        <v>217</v>
      </c>
      <c r="AE157" t="s">
        <v>55</v>
      </c>
      <c r="AF157" t="s">
        <v>56</v>
      </c>
      <c r="AG157" t="s">
        <v>127</v>
      </c>
    </row>
    <row r="158" spans="1:33" x14ac:dyDescent="0.3">
      <c r="A158" t="s">
        <v>733</v>
      </c>
      <c r="B158" t="s">
        <v>962</v>
      </c>
      <c r="C158" s="1">
        <v>45187</v>
      </c>
      <c r="D158" s="1">
        <v>44426</v>
      </c>
      <c r="E158" t="s">
        <v>963</v>
      </c>
      <c r="F158" t="s">
        <v>964</v>
      </c>
      <c r="G158" t="s">
        <v>965</v>
      </c>
      <c r="H158" t="s">
        <v>174</v>
      </c>
      <c r="I158" t="s">
        <v>185</v>
      </c>
      <c r="J158" t="s">
        <v>474</v>
      </c>
      <c r="K158" t="s">
        <v>41</v>
      </c>
      <c r="L158" t="s">
        <v>42</v>
      </c>
      <c r="M158" t="s">
        <v>244</v>
      </c>
      <c r="N158" t="s">
        <v>572</v>
      </c>
      <c r="O158" t="s">
        <v>464</v>
      </c>
      <c r="P158" t="s">
        <v>46</v>
      </c>
      <c r="Q158" t="s">
        <v>465</v>
      </c>
      <c r="R158" t="s">
        <v>107</v>
      </c>
      <c r="S158" t="s">
        <v>49</v>
      </c>
      <c r="T158" t="s">
        <v>178</v>
      </c>
      <c r="U158" t="s">
        <v>73</v>
      </c>
      <c r="V158">
        <v>255</v>
      </c>
      <c r="W158" t="s">
        <v>52</v>
      </c>
      <c r="X158" s="2">
        <v>2076</v>
      </c>
      <c r="Y158" s="2">
        <v>529380</v>
      </c>
      <c r="Z158" t="s">
        <v>53</v>
      </c>
      <c r="AA158" s="3">
        <v>0.18</v>
      </c>
      <c r="AB158">
        <v>33071010</v>
      </c>
      <c r="AC158">
        <v>95290</v>
      </c>
      <c r="AD158" t="s">
        <v>108</v>
      </c>
      <c r="AE158" t="s">
        <v>75</v>
      </c>
      <c r="AF158" t="s">
        <v>76</v>
      </c>
      <c r="AG158" t="s">
        <v>218</v>
      </c>
    </row>
    <row r="159" spans="1:33" x14ac:dyDescent="0.3">
      <c r="A159" t="s">
        <v>733</v>
      </c>
      <c r="B159" t="s">
        <v>966</v>
      </c>
      <c r="C159" s="1">
        <v>45193</v>
      </c>
      <c r="D159" s="1">
        <v>44426</v>
      </c>
      <c r="E159" t="s">
        <v>967</v>
      </c>
      <c r="F159" t="s">
        <v>968</v>
      </c>
      <c r="G159" t="s">
        <v>969</v>
      </c>
      <c r="H159" t="s">
        <v>150</v>
      </c>
      <c r="I159" t="s">
        <v>163</v>
      </c>
      <c r="J159" t="s">
        <v>139</v>
      </c>
      <c r="K159" t="s">
        <v>65</v>
      </c>
      <c r="L159" t="s">
        <v>253</v>
      </c>
      <c r="M159" t="s">
        <v>43</v>
      </c>
      <c r="N159" t="s">
        <v>44</v>
      </c>
      <c r="O159" t="s">
        <v>462</v>
      </c>
      <c r="P159" t="s">
        <v>46</v>
      </c>
      <c r="Q159" t="s">
        <v>463</v>
      </c>
      <c r="R159" t="s">
        <v>48</v>
      </c>
      <c r="S159" t="s">
        <v>71</v>
      </c>
      <c r="T159" t="s">
        <v>124</v>
      </c>
      <c r="U159" t="s">
        <v>144</v>
      </c>
      <c r="V159">
        <v>255</v>
      </c>
      <c r="W159" t="s">
        <v>156</v>
      </c>
      <c r="X159">
        <v>40</v>
      </c>
      <c r="Y159" s="2">
        <v>10200</v>
      </c>
      <c r="Z159" t="s">
        <v>53</v>
      </c>
      <c r="AA159" s="3">
        <v>0.18</v>
      </c>
      <c r="AB159">
        <v>33030050</v>
      </c>
      <c r="AC159">
        <v>1840</v>
      </c>
      <c r="AD159" t="s">
        <v>179</v>
      </c>
      <c r="AE159" t="s">
        <v>180</v>
      </c>
      <c r="AF159" t="s">
        <v>109</v>
      </c>
      <c r="AG159" t="s">
        <v>158</v>
      </c>
    </row>
    <row r="160" spans="1:33" x14ac:dyDescent="0.3">
      <c r="A160" t="s">
        <v>733</v>
      </c>
      <c r="B160" t="s">
        <v>970</v>
      </c>
      <c r="C160" s="1">
        <v>45265</v>
      </c>
      <c r="D160" s="1">
        <v>44426</v>
      </c>
      <c r="E160" t="s">
        <v>971</v>
      </c>
      <c r="F160" t="s">
        <v>972</v>
      </c>
      <c r="G160" t="s">
        <v>973</v>
      </c>
      <c r="H160" t="s">
        <v>38</v>
      </c>
      <c r="I160" t="s">
        <v>185</v>
      </c>
      <c r="J160" t="s">
        <v>89</v>
      </c>
      <c r="K160" t="s">
        <v>194</v>
      </c>
      <c r="L160" t="s">
        <v>117</v>
      </c>
      <c r="M160" t="s">
        <v>66</v>
      </c>
      <c r="N160" t="s">
        <v>974</v>
      </c>
      <c r="O160" t="s">
        <v>45</v>
      </c>
      <c r="P160" t="s">
        <v>46</v>
      </c>
      <c r="Q160" t="s">
        <v>47</v>
      </c>
      <c r="R160" t="s">
        <v>48</v>
      </c>
      <c r="S160" t="s">
        <v>123</v>
      </c>
      <c r="T160" t="s">
        <v>197</v>
      </c>
      <c r="U160" t="s">
        <v>168</v>
      </c>
      <c r="V160">
        <v>255</v>
      </c>
      <c r="W160" t="s">
        <v>156</v>
      </c>
      <c r="X160" s="2">
        <v>5220</v>
      </c>
      <c r="Y160" s="2">
        <v>1331100</v>
      </c>
      <c r="Z160" t="s">
        <v>53</v>
      </c>
      <c r="AA160" s="3">
        <v>0.18</v>
      </c>
      <c r="AB160">
        <v>33051010</v>
      </c>
      <c r="AC160">
        <v>239600</v>
      </c>
      <c r="AD160" t="s">
        <v>189</v>
      </c>
      <c r="AE160" t="s">
        <v>145</v>
      </c>
      <c r="AF160" t="s">
        <v>56</v>
      </c>
      <c r="AG160" t="s">
        <v>97</v>
      </c>
    </row>
    <row r="161" spans="1:33" x14ac:dyDescent="0.3">
      <c r="A161" t="s">
        <v>733</v>
      </c>
      <c r="B161" t="s">
        <v>975</v>
      </c>
      <c r="C161" s="1">
        <v>45198</v>
      </c>
      <c r="D161" s="1">
        <v>44431</v>
      </c>
      <c r="E161" t="s">
        <v>976</v>
      </c>
      <c r="F161" t="s">
        <v>977</v>
      </c>
      <c r="G161" t="s">
        <v>978</v>
      </c>
      <c r="H161" t="s">
        <v>62</v>
      </c>
      <c r="I161" t="s">
        <v>39</v>
      </c>
      <c r="J161" t="s">
        <v>186</v>
      </c>
      <c r="K161" t="s">
        <v>194</v>
      </c>
      <c r="L161" t="s">
        <v>187</v>
      </c>
      <c r="M161" t="s">
        <v>140</v>
      </c>
      <c r="N161" t="s">
        <v>227</v>
      </c>
      <c r="O161" t="s">
        <v>68</v>
      </c>
      <c r="P161" t="s">
        <v>46</v>
      </c>
      <c r="Q161" t="s">
        <v>69</v>
      </c>
      <c r="R161" t="s">
        <v>122</v>
      </c>
      <c r="S161" t="s">
        <v>188</v>
      </c>
      <c r="T161" t="s">
        <v>50</v>
      </c>
      <c r="U161" t="s">
        <v>51</v>
      </c>
      <c r="V161">
        <v>255</v>
      </c>
      <c r="W161" t="s">
        <v>52</v>
      </c>
      <c r="X161">
        <v>55</v>
      </c>
      <c r="Y161" s="2">
        <v>13920</v>
      </c>
      <c r="Z161" t="s">
        <v>53</v>
      </c>
      <c r="AA161" s="3">
        <v>0.18</v>
      </c>
      <c r="AB161">
        <v>33059090</v>
      </c>
      <c r="AC161">
        <v>2510</v>
      </c>
      <c r="AD161" t="s">
        <v>54</v>
      </c>
      <c r="AE161" t="s">
        <v>126</v>
      </c>
      <c r="AF161" t="s">
        <v>56</v>
      </c>
      <c r="AG161" t="s">
        <v>361</v>
      </c>
    </row>
    <row r="162" spans="1:33" x14ac:dyDescent="0.3">
      <c r="A162" t="s">
        <v>733</v>
      </c>
      <c r="B162" t="s">
        <v>979</v>
      </c>
      <c r="C162" s="1">
        <v>45193</v>
      </c>
      <c r="D162" s="1">
        <v>44432</v>
      </c>
      <c r="E162" t="s">
        <v>980</v>
      </c>
      <c r="F162" t="s">
        <v>981</v>
      </c>
      <c r="G162" t="s">
        <v>982</v>
      </c>
      <c r="H162" t="s">
        <v>138</v>
      </c>
      <c r="I162" t="s">
        <v>63</v>
      </c>
      <c r="J162" t="s">
        <v>102</v>
      </c>
      <c r="K162" t="s">
        <v>41</v>
      </c>
      <c r="L162" t="s">
        <v>152</v>
      </c>
      <c r="M162" t="s">
        <v>267</v>
      </c>
      <c r="N162" t="s">
        <v>599</v>
      </c>
      <c r="O162" t="s">
        <v>237</v>
      </c>
      <c r="P162" t="s">
        <v>46</v>
      </c>
      <c r="Q162" t="s">
        <v>238</v>
      </c>
      <c r="R162" t="s">
        <v>122</v>
      </c>
      <c r="S162" t="s">
        <v>155</v>
      </c>
      <c r="T162" t="s">
        <v>72</v>
      </c>
      <c r="U162" t="s">
        <v>73</v>
      </c>
      <c r="V162">
        <v>260</v>
      </c>
      <c r="W162" t="s">
        <v>52</v>
      </c>
      <c r="X162">
        <v>62</v>
      </c>
      <c r="Y162" s="2">
        <v>16220</v>
      </c>
      <c r="Z162" t="s">
        <v>53</v>
      </c>
      <c r="AA162" s="3">
        <v>0.18</v>
      </c>
      <c r="AB162">
        <v>33049930</v>
      </c>
      <c r="AC162">
        <v>2920</v>
      </c>
      <c r="AD162" t="s">
        <v>74</v>
      </c>
      <c r="AE162" t="s">
        <v>209</v>
      </c>
      <c r="AF162" t="s">
        <v>56</v>
      </c>
      <c r="AG162" t="s">
        <v>57</v>
      </c>
    </row>
    <row r="163" spans="1:33" x14ac:dyDescent="0.3">
      <c r="A163" t="s">
        <v>733</v>
      </c>
      <c r="B163" t="s">
        <v>983</v>
      </c>
      <c r="C163" s="1">
        <v>45199</v>
      </c>
      <c r="D163" s="1">
        <v>44433</v>
      </c>
      <c r="E163" t="s">
        <v>984</v>
      </c>
      <c r="F163" t="s">
        <v>985</v>
      </c>
      <c r="G163" t="s">
        <v>986</v>
      </c>
      <c r="H163" t="s">
        <v>138</v>
      </c>
      <c r="I163" t="s">
        <v>163</v>
      </c>
      <c r="J163" t="s">
        <v>234</v>
      </c>
      <c r="K163" t="s">
        <v>65</v>
      </c>
      <c r="L163" t="s">
        <v>42</v>
      </c>
      <c r="M163" t="s">
        <v>235</v>
      </c>
      <c r="N163" t="s">
        <v>236</v>
      </c>
      <c r="O163" t="s">
        <v>511</v>
      </c>
      <c r="P163" t="s">
        <v>46</v>
      </c>
      <c r="Q163" t="s">
        <v>512</v>
      </c>
      <c r="R163" t="s">
        <v>122</v>
      </c>
      <c r="S163" t="s">
        <v>49</v>
      </c>
      <c r="T163" t="s">
        <v>178</v>
      </c>
      <c r="U163" t="s">
        <v>51</v>
      </c>
      <c r="V163">
        <v>260</v>
      </c>
      <c r="W163" t="s">
        <v>52</v>
      </c>
      <c r="X163">
        <v>218</v>
      </c>
      <c r="Y163" s="2">
        <v>56780</v>
      </c>
      <c r="Z163" t="s">
        <v>53</v>
      </c>
      <c r="AA163" s="3">
        <v>0.18</v>
      </c>
      <c r="AB163">
        <v>33041000</v>
      </c>
      <c r="AC163">
        <v>10220</v>
      </c>
      <c r="AD163" t="s">
        <v>125</v>
      </c>
      <c r="AE163" t="s">
        <v>96</v>
      </c>
      <c r="AF163" t="s">
        <v>56</v>
      </c>
      <c r="AG163" t="s">
        <v>77</v>
      </c>
    </row>
    <row r="164" spans="1:33" x14ac:dyDescent="0.3">
      <c r="A164" t="s">
        <v>733</v>
      </c>
      <c r="B164" t="s">
        <v>987</v>
      </c>
      <c r="C164" s="1">
        <v>45198</v>
      </c>
      <c r="D164" s="1">
        <v>44434</v>
      </c>
      <c r="E164" t="s">
        <v>988</v>
      </c>
      <c r="F164" t="s">
        <v>989</v>
      </c>
      <c r="G164" t="s">
        <v>990</v>
      </c>
      <c r="H164" t="s">
        <v>138</v>
      </c>
      <c r="I164" t="s">
        <v>63</v>
      </c>
      <c r="J164" t="s">
        <v>358</v>
      </c>
      <c r="K164" t="s">
        <v>65</v>
      </c>
      <c r="L164" t="s">
        <v>187</v>
      </c>
      <c r="M164" t="s">
        <v>118</v>
      </c>
      <c r="N164" t="s">
        <v>119</v>
      </c>
      <c r="O164" t="s">
        <v>221</v>
      </c>
      <c r="P164" t="s">
        <v>46</v>
      </c>
      <c r="Q164" t="s">
        <v>222</v>
      </c>
      <c r="R164" t="s">
        <v>48</v>
      </c>
      <c r="S164" t="s">
        <v>188</v>
      </c>
      <c r="T164" t="s">
        <v>124</v>
      </c>
      <c r="U164" t="s">
        <v>51</v>
      </c>
      <c r="V164">
        <v>163</v>
      </c>
      <c r="W164" t="s">
        <v>52</v>
      </c>
      <c r="X164">
        <v>608</v>
      </c>
      <c r="Y164" s="2">
        <v>99170</v>
      </c>
      <c r="Z164" t="s">
        <v>53</v>
      </c>
      <c r="AA164" s="3">
        <v>0.18</v>
      </c>
      <c r="AB164">
        <v>33071010</v>
      </c>
      <c r="AC164">
        <v>17850</v>
      </c>
      <c r="AD164" t="s">
        <v>320</v>
      </c>
      <c r="AE164" t="s">
        <v>55</v>
      </c>
      <c r="AF164" t="s">
        <v>109</v>
      </c>
      <c r="AG164" t="s">
        <v>199</v>
      </c>
    </row>
    <row r="165" spans="1:33" x14ac:dyDescent="0.3">
      <c r="A165" t="s">
        <v>733</v>
      </c>
      <c r="B165" t="s">
        <v>991</v>
      </c>
      <c r="C165" s="1">
        <v>45199</v>
      </c>
      <c r="D165" s="1">
        <v>44435</v>
      </c>
      <c r="E165" t="s">
        <v>992</v>
      </c>
      <c r="F165" t="s">
        <v>993</v>
      </c>
      <c r="G165" t="s">
        <v>994</v>
      </c>
      <c r="H165" t="s">
        <v>174</v>
      </c>
      <c r="I165" t="s">
        <v>39</v>
      </c>
      <c r="J165" t="s">
        <v>151</v>
      </c>
      <c r="K165" t="s">
        <v>194</v>
      </c>
      <c r="L165" t="s">
        <v>42</v>
      </c>
      <c r="M165" t="s">
        <v>195</v>
      </c>
      <c r="N165" t="s">
        <v>196</v>
      </c>
      <c r="O165" t="s">
        <v>519</v>
      </c>
      <c r="P165" t="s">
        <v>46</v>
      </c>
      <c r="Q165" t="s">
        <v>520</v>
      </c>
      <c r="R165" t="s">
        <v>70</v>
      </c>
      <c r="S165" t="s">
        <v>49</v>
      </c>
      <c r="T165" t="s">
        <v>197</v>
      </c>
      <c r="U165" t="s">
        <v>73</v>
      </c>
      <c r="V165">
        <v>163</v>
      </c>
      <c r="W165" t="s">
        <v>52</v>
      </c>
      <c r="X165">
        <v>585</v>
      </c>
      <c r="Y165" s="2">
        <v>95360</v>
      </c>
      <c r="Z165" t="s">
        <v>53</v>
      </c>
      <c r="AA165" s="3">
        <v>0.18</v>
      </c>
      <c r="AB165">
        <v>33030050</v>
      </c>
      <c r="AC165">
        <v>17160</v>
      </c>
      <c r="AD165" t="s">
        <v>468</v>
      </c>
      <c r="AE165" t="s">
        <v>75</v>
      </c>
      <c r="AF165" t="s">
        <v>109</v>
      </c>
      <c r="AG165" t="s">
        <v>127</v>
      </c>
    </row>
    <row r="166" spans="1:33" x14ac:dyDescent="0.3">
      <c r="A166" t="s">
        <v>733</v>
      </c>
      <c r="B166" t="s">
        <v>995</v>
      </c>
      <c r="C166" s="1">
        <v>45198</v>
      </c>
      <c r="D166" s="1">
        <v>44437</v>
      </c>
      <c r="E166" t="s">
        <v>996</v>
      </c>
      <c r="F166" t="s">
        <v>997</v>
      </c>
      <c r="G166" t="s">
        <v>998</v>
      </c>
      <c r="H166" t="s">
        <v>38</v>
      </c>
      <c r="I166" t="s">
        <v>39</v>
      </c>
      <c r="J166" t="s">
        <v>139</v>
      </c>
      <c r="K166" t="s">
        <v>65</v>
      </c>
      <c r="L166" t="s">
        <v>117</v>
      </c>
      <c r="M166" t="s">
        <v>43</v>
      </c>
      <c r="N166" t="s">
        <v>295</v>
      </c>
      <c r="O166" t="s">
        <v>228</v>
      </c>
      <c r="P166" t="s">
        <v>46</v>
      </c>
      <c r="Q166" t="s">
        <v>229</v>
      </c>
      <c r="R166" t="s">
        <v>70</v>
      </c>
      <c r="S166" t="s">
        <v>123</v>
      </c>
      <c r="T166" t="s">
        <v>50</v>
      </c>
      <c r="U166" t="s">
        <v>73</v>
      </c>
      <c r="V166">
        <v>200</v>
      </c>
      <c r="W166" t="s">
        <v>52</v>
      </c>
      <c r="X166">
        <v>839</v>
      </c>
      <c r="Y166" s="2">
        <v>167750</v>
      </c>
      <c r="Z166" t="s">
        <v>53</v>
      </c>
      <c r="AA166" s="3">
        <v>0.18</v>
      </c>
      <c r="AB166">
        <v>33012948</v>
      </c>
      <c r="AC166">
        <v>30200</v>
      </c>
      <c r="AD166" t="s">
        <v>95</v>
      </c>
      <c r="AE166" t="s">
        <v>145</v>
      </c>
      <c r="AF166" t="s">
        <v>109</v>
      </c>
      <c r="AG166" t="s">
        <v>158</v>
      </c>
    </row>
    <row r="167" spans="1:33" x14ac:dyDescent="0.3">
      <c r="A167" t="s">
        <v>733</v>
      </c>
      <c r="B167" t="s">
        <v>999</v>
      </c>
      <c r="C167" s="1">
        <v>45219</v>
      </c>
      <c r="D167" s="1">
        <v>44438</v>
      </c>
      <c r="E167" t="s">
        <v>1000</v>
      </c>
      <c r="F167" t="s">
        <v>1001</v>
      </c>
      <c r="G167" t="s">
        <v>1002</v>
      </c>
      <c r="H167" t="s">
        <v>62</v>
      </c>
      <c r="I167" t="s">
        <v>63</v>
      </c>
      <c r="J167" t="s">
        <v>89</v>
      </c>
      <c r="K167" t="s">
        <v>41</v>
      </c>
      <c r="L167" t="s">
        <v>187</v>
      </c>
      <c r="M167" t="s">
        <v>66</v>
      </c>
      <c r="N167" t="s">
        <v>638</v>
      </c>
      <c r="O167" t="s">
        <v>206</v>
      </c>
      <c r="P167" t="s">
        <v>46</v>
      </c>
      <c r="Q167" t="s">
        <v>207</v>
      </c>
      <c r="R167" t="s">
        <v>70</v>
      </c>
      <c r="S167" t="s">
        <v>188</v>
      </c>
      <c r="T167" t="s">
        <v>72</v>
      </c>
      <c r="U167" t="s">
        <v>51</v>
      </c>
      <c r="V167">
        <v>20</v>
      </c>
      <c r="W167" t="s">
        <v>52</v>
      </c>
      <c r="X167">
        <v>74</v>
      </c>
      <c r="Y167" s="2">
        <v>1480</v>
      </c>
      <c r="Z167" t="s">
        <v>53</v>
      </c>
      <c r="AA167" s="3">
        <v>0.18</v>
      </c>
      <c r="AB167">
        <v>33013091</v>
      </c>
      <c r="AC167">
        <v>270</v>
      </c>
      <c r="AD167" t="s">
        <v>217</v>
      </c>
      <c r="AE167" t="s">
        <v>126</v>
      </c>
      <c r="AF167" t="s">
        <v>76</v>
      </c>
      <c r="AG167" t="s">
        <v>97</v>
      </c>
    </row>
    <row r="168" spans="1:33" x14ac:dyDescent="0.3">
      <c r="A168" t="s">
        <v>733</v>
      </c>
      <c r="B168" t="s">
        <v>1003</v>
      </c>
      <c r="C168" s="1">
        <v>45200</v>
      </c>
      <c r="D168" s="1">
        <v>44439</v>
      </c>
      <c r="E168" t="s">
        <v>1004</v>
      </c>
      <c r="F168" t="s">
        <v>1005</v>
      </c>
      <c r="G168" t="s">
        <v>1006</v>
      </c>
      <c r="H168" t="s">
        <v>138</v>
      </c>
      <c r="I168" t="s">
        <v>39</v>
      </c>
      <c r="J168" t="s">
        <v>186</v>
      </c>
      <c r="K168" t="s">
        <v>65</v>
      </c>
      <c r="L168" t="s">
        <v>152</v>
      </c>
      <c r="M168" t="s">
        <v>140</v>
      </c>
      <c r="N168" t="s">
        <v>141</v>
      </c>
      <c r="O168" t="s">
        <v>215</v>
      </c>
      <c r="P168" t="s">
        <v>46</v>
      </c>
      <c r="Q168" t="s">
        <v>216</v>
      </c>
      <c r="R168" t="s">
        <v>48</v>
      </c>
      <c r="S168" t="s">
        <v>155</v>
      </c>
      <c r="T168" t="s">
        <v>178</v>
      </c>
      <c r="U168" t="s">
        <v>73</v>
      </c>
      <c r="V168">
        <v>100</v>
      </c>
      <c r="W168" t="s">
        <v>52</v>
      </c>
      <c r="X168" s="2">
        <v>2399</v>
      </c>
      <c r="Y168" s="2">
        <v>239850</v>
      </c>
      <c r="Z168" t="s">
        <v>53</v>
      </c>
      <c r="AA168" s="3">
        <v>0.18</v>
      </c>
      <c r="AB168">
        <v>33012948</v>
      </c>
      <c r="AC168">
        <v>43170</v>
      </c>
      <c r="AD168" t="s">
        <v>108</v>
      </c>
      <c r="AE168" t="s">
        <v>180</v>
      </c>
      <c r="AF168" t="s">
        <v>76</v>
      </c>
      <c r="AG168" t="s">
        <v>361</v>
      </c>
    </row>
    <row r="169" spans="1:33" x14ac:dyDescent="0.3">
      <c r="A169" t="s">
        <v>733</v>
      </c>
      <c r="B169" t="s">
        <v>1007</v>
      </c>
      <c r="C169" s="1">
        <v>45203</v>
      </c>
      <c r="D169" s="1">
        <v>44440</v>
      </c>
      <c r="E169" t="s">
        <v>1008</v>
      </c>
      <c r="F169" t="s">
        <v>1009</v>
      </c>
      <c r="G169" t="s">
        <v>1010</v>
      </c>
      <c r="H169" t="s">
        <v>174</v>
      </c>
      <c r="I169" t="s">
        <v>63</v>
      </c>
      <c r="J169" t="s">
        <v>102</v>
      </c>
      <c r="K169" t="s">
        <v>194</v>
      </c>
      <c r="L169" t="s">
        <v>42</v>
      </c>
      <c r="M169" t="s">
        <v>267</v>
      </c>
      <c r="N169" t="s">
        <v>268</v>
      </c>
      <c r="O169" t="s">
        <v>219</v>
      </c>
      <c r="P169" t="s">
        <v>46</v>
      </c>
      <c r="Q169" t="s">
        <v>220</v>
      </c>
      <c r="R169" t="s">
        <v>70</v>
      </c>
      <c r="S169" t="s">
        <v>49</v>
      </c>
      <c r="T169" t="s">
        <v>124</v>
      </c>
      <c r="U169" t="s">
        <v>144</v>
      </c>
      <c r="V169">
        <v>200</v>
      </c>
      <c r="W169" t="s">
        <v>52</v>
      </c>
      <c r="X169">
        <v>480</v>
      </c>
      <c r="Y169" s="2">
        <v>95940</v>
      </c>
      <c r="Z169" t="s">
        <v>53</v>
      </c>
      <c r="AA169" s="3">
        <v>0.18</v>
      </c>
      <c r="AB169">
        <v>33051010</v>
      </c>
      <c r="AC169">
        <v>17270</v>
      </c>
      <c r="AD169" t="s">
        <v>54</v>
      </c>
      <c r="AE169" t="s">
        <v>145</v>
      </c>
      <c r="AF169" t="s">
        <v>76</v>
      </c>
      <c r="AG169" t="s">
        <v>57</v>
      </c>
    </row>
    <row r="170" spans="1:33" x14ac:dyDescent="0.3">
      <c r="A170" t="s">
        <v>733</v>
      </c>
      <c r="B170" t="s">
        <v>1011</v>
      </c>
      <c r="C170" s="1">
        <v>45205</v>
      </c>
      <c r="D170" s="1">
        <v>44441</v>
      </c>
      <c r="E170" t="s">
        <v>1012</v>
      </c>
      <c r="F170" t="s">
        <v>1013</v>
      </c>
      <c r="G170" t="s">
        <v>1014</v>
      </c>
      <c r="H170" t="s">
        <v>150</v>
      </c>
      <c r="I170" t="s">
        <v>163</v>
      </c>
      <c r="J170" t="s">
        <v>234</v>
      </c>
      <c r="K170" t="s">
        <v>194</v>
      </c>
      <c r="L170" t="s">
        <v>42</v>
      </c>
      <c r="M170" t="s">
        <v>235</v>
      </c>
      <c r="N170" t="s">
        <v>236</v>
      </c>
      <c r="O170" t="s">
        <v>83</v>
      </c>
      <c r="P170" t="s">
        <v>46</v>
      </c>
      <c r="Q170" t="s">
        <v>84</v>
      </c>
      <c r="R170" t="s">
        <v>70</v>
      </c>
      <c r="S170" t="s">
        <v>49</v>
      </c>
      <c r="T170" t="s">
        <v>197</v>
      </c>
      <c r="U170" t="s">
        <v>168</v>
      </c>
      <c r="V170">
        <v>20</v>
      </c>
      <c r="W170" t="s">
        <v>52</v>
      </c>
      <c r="X170" s="2">
        <v>1221</v>
      </c>
      <c r="Y170" s="2">
        <v>24410</v>
      </c>
      <c r="Z170" t="s">
        <v>53</v>
      </c>
      <c r="AA170" s="3">
        <v>0.18</v>
      </c>
      <c r="AB170">
        <v>33059090</v>
      </c>
      <c r="AC170">
        <v>4390</v>
      </c>
      <c r="AD170" t="s">
        <v>74</v>
      </c>
      <c r="AE170" t="s">
        <v>126</v>
      </c>
      <c r="AF170" t="s">
        <v>76</v>
      </c>
      <c r="AG170" t="s">
        <v>77</v>
      </c>
    </row>
    <row r="171" spans="1:33" x14ac:dyDescent="0.3">
      <c r="A171" t="s">
        <v>733</v>
      </c>
      <c r="B171" t="s">
        <v>1015</v>
      </c>
      <c r="C171" s="1">
        <v>45207</v>
      </c>
      <c r="D171" s="1">
        <v>44442</v>
      </c>
      <c r="E171" t="s">
        <v>1016</v>
      </c>
      <c r="F171" t="s">
        <v>1017</v>
      </c>
      <c r="G171" t="s">
        <v>1018</v>
      </c>
      <c r="H171" t="s">
        <v>38</v>
      </c>
      <c r="I171" t="s">
        <v>39</v>
      </c>
      <c r="J171" t="s">
        <v>243</v>
      </c>
      <c r="K171" t="s">
        <v>41</v>
      </c>
      <c r="L171" t="s">
        <v>42</v>
      </c>
      <c r="M171" t="s">
        <v>244</v>
      </c>
      <c r="N171" t="s">
        <v>282</v>
      </c>
      <c r="O171" t="s">
        <v>128</v>
      </c>
      <c r="P171" t="s">
        <v>79</v>
      </c>
      <c r="Q171" t="s">
        <v>129</v>
      </c>
      <c r="R171" t="s">
        <v>70</v>
      </c>
      <c r="S171" t="s">
        <v>49</v>
      </c>
      <c r="T171" t="s">
        <v>208</v>
      </c>
      <c r="U171" t="s">
        <v>51</v>
      </c>
      <c r="V171">
        <v>80</v>
      </c>
      <c r="W171" t="s">
        <v>52</v>
      </c>
      <c r="X171" s="2">
        <v>1221</v>
      </c>
      <c r="Y171" s="2">
        <v>97660</v>
      </c>
      <c r="Z171" t="s">
        <v>53</v>
      </c>
      <c r="AA171" s="3">
        <v>0.18</v>
      </c>
      <c r="AB171">
        <v>33049930</v>
      </c>
      <c r="AC171">
        <v>17580</v>
      </c>
      <c r="AD171" t="s">
        <v>125</v>
      </c>
      <c r="AE171" t="s">
        <v>209</v>
      </c>
      <c r="AF171" t="s">
        <v>56</v>
      </c>
      <c r="AG171" t="s">
        <v>199</v>
      </c>
    </row>
    <row r="172" spans="1:33" x14ac:dyDescent="0.3">
      <c r="A172" t="s">
        <v>733</v>
      </c>
      <c r="B172" t="s">
        <v>1019</v>
      </c>
      <c r="C172" s="1">
        <v>45208</v>
      </c>
      <c r="D172" s="1">
        <v>44442</v>
      </c>
      <c r="E172" t="s">
        <v>1020</v>
      </c>
      <c r="F172" t="s">
        <v>1021</v>
      </c>
      <c r="G172" t="s">
        <v>1022</v>
      </c>
      <c r="H172" t="s">
        <v>62</v>
      </c>
      <c r="I172" t="s">
        <v>63</v>
      </c>
      <c r="J172" t="s">
        <v>116</v>
      </c>
      <c r="K172" t="s">
        <v>65</v>
      </c>
      <c r="L172" t="s">
        <v>42</v>
      </c>
      <c r="M172" t="s">
        <v>90</v>
      </c>
      <c r="N172" t="s">
        <v>214</v>
      </c>
      <c r="O172" t="s">
        <v>130</v>
      </c>
      <c r="P172" t="s">
        <v>79</v>
      </c>
      <c r="Q172" t="s">
        <v>131</v>
      </c>
      <c r="R172" t="s">
        <v>70</v>
      </c>
      <c r="S172" t="s">
        <v>49</v>
      </c>
      <c r="T172" t="s">
        <v>50</v>
      </c>
      <c r="U172" t="s">
        <v>73</v>
      </c>
      <c r="V172">
        <v>10</v>
      </c>
      <c r="W172" t="s">
        <v>52</v>
      </c>
      <c r="X172">
        <v>113</v>
      </c>
      <c r="Y172" s="2">
        <v>1130</v>
      </c>
      <c r="Z172" t="s">
        <v>53</v>
      </c>
      <c r="AA172" s="3">
        <v>0.18</v>
      </c>
      <c r="AB172">
        <v>33041000</v>
      </c>
      <c r="AC172">
        <v>200</v>
      </c>
      <c r="AD172" t="s">
        <v>320</v>
      </c>
      <c r="AE172" t="s">
        <v>96</v>
      </c>
      <c r="AF172" t="s">
        <v>56</v>
      </c>
      <c r="AG172" t="s">
        <v>127</v>
      </c>
    </row>
    <row r="173" spans="1:33" x14ac:dyDescent="0.3">
      <c r="A173" t="s">
        <v>733</v>
      </c>
      <c r="B173" t="s">
        <v>1023</v>
      </c>
      <c r="C173" s="1">
        <v>45209</v>
      </c>
      <c r="D173" s="1">
        <v>44442</v>
      </c>
      <c r="E173" t="s">
        <v>1024</v>
      </c>
      <c r="F173" t="s">
        <v>1025</v>
      </c>
      <c r="G173" t="s">
        <v>1026</v>
      </c>
      <c r="H173" t="s">
        <v>138</v>
      </c>
      <c r="I173" t="s">
        <v>163</v>
      </c>
      <c r="J173" t="s">
        <v>441</v>
      </c>
      <c r="K173" t="s">
        <v>41</v>
      </c>
      <c r="L173" t="s">
        <v>42</v>
      </c>
      <c r="M173" t="s">
        <v>153</v>
      </c>
      <c r="N173" t="s">
        <v>663</v>
      </c>
      <c r="O173" t="s">
        <v>81</v>
      </c>
      <c r="P173" t="s">
        <v>46</v>
      </c>
      <c r="Q173" t="s">
        <v>82</v>
      </c>
      <c r="R173" t="s">
        <v>70</v>
      </c>
      <c r="S173" t="s">
        <v>49</v>
      </c>
      <c r="T173" t="s">
        <v>50</v>
      </c>
      <c r="U173" t="s">
        <v>144</v>
      </c>
      <c r="V173">
        <v>3200</v>
      </c>
      <c r="W173" t="s">
        <v>52</v>
      </c>
      <c r="X173" s="2">
        <v>1006</v>
      </c>
      <c r="Y173" s="2">
        <v>3219840</v>
      </c>
      <c r="Z173" t="s">
        <v>53</v>
      </c>
      <c r="AA173" s="3">
        <v>0.18</v>
      </c>
      <c r="AB173">
        <v>33071010</v>
      </c>
      <c r="AC173">
        <v>579570</v>
      </c>
      <c r="AD173" t="s">
        <v>468</v>
      </c>
      <c r="AE173" t="s">
        <v>55</v>
      </c>
      <c r="AF173" t="s">
        <v>56</v>
      </c>
      <c r="AG173" t="s">
        <v>218</v>
      </c>
    </row>
    <row r="174" spans="1:33" x14ac:dyDescent="0.3">
      <c r="A174" t="s">
        <v>733</v>
      </c>
      <c r="B174" t="s">
        <v>1027</v>
      </c>
      <c r="C174" s="1">
        <v>45252</v>
      </c>
      <c r="D174" s="1">
        <v>44461</v>
      </c>
      <c r="E174" t="s">
        <v>1028</v>
      </c>
      <c r="F174" t="s">
        <v>1029</v>
      </c>
      <c r="G174" t="s">
        <v>1030</v>
      </c>
      <c r="H174" t="s">
        <v>62</v>
      </c>
      <c r="I174" t="s">
        <v>63</v>
      </c>
      <c r="J174" t="s">
        <v>89</v>
      </c>
      <c r="K174" t="s">
        <v>41</v>
      </c>
      <c r="L174" t="s">
        <v>187</v>
      </c>
      <c r="M174" t="s">
        <v>118</v>
      </c>
      <c r="N174" t="s">
        <v>119</v>
      </c>
      <c r="O174" t="s">
        <v>325</v>
      </c>
      <c r="P174" t="s">
        <v>276</v>
      </c>
      <c r="Q174" t="s">
        <v>326</v>
      </c>
      <c r="R174" t="s">
        <v>70</v>
      </c>
      <c r="S174" t="s">
        <v>188</v>
      </c>
      <c r="T174" t="s">
        <v>178</v>
      </c>
      <c r="U174" t="s">
        <v>73</v>
      </c>
      <c r="V174">
        <v>10</v>
      </c>
      <c r="W174" t="s">
        <v>1031</v>
      </c>
      <c r="X174" s="2">
        <v>1322</v>
      </c>
      <c r="Y174" s="2">
        <v>13220</v>
      </c>
      <c r="Z174" t="s">
        <v>53</v>
      </c>
      <c r="AA174" s="3">
        <v>0.18</v>
      </c>
      <c r="AB174">
        <v>33041000</v>
      </c>
      <c r="AC174">
        <v>2380</v>
      </c>
      <c r="AD174" t="s">
        <v>95</v>
      </c>
      <c r="AE174" t="s">
        <v>145</v>
      </c>
      <c r="AF174" t="s">
        <v>56</v>
      </c>
      <c r="AG174" t="s">
        <v>127</v>
      </c>
    </row>
    <row r="175" spans="1:33" x14ac:dyDescent="0.3">
      <c r="A175" t="s">
        <v>733</v>
      </c>
      <c r="B175" t="s">
        <v>1032</v>
      </c>
      <c r="C175" s="1">
        <v>45259</v>
      </c>
      <c r="D175" s="1">
        <v>44461</v>
      </c>
      <c r="E175" t="s">
        <v>1033</v>
      </c>
      <c r="F175" t="s">
        <v>1034</v>
      </c>
      <c r="G175" t="s">
        <v>1035</v>
      </c>
      <c r="H175" t="s">
        <v>138</v>
      </c>
      <c r="I175" t="s">
        <v>63</v>
      </c>
      <c r="J175" t="s">
        <v>186</v>
      </c>
      <c r="K175" t="s">
        <v>65</v>
      </c>
      <c r="L175" t="s">
        <v>152</v>
      </c>
      <c r="M175" t="s">
        <v>195</v>
      </c>
      <c r="N175" t="s">
        <v>347</v>
      </c>
      <c r="O175" t="s">
        <v>492</v>
      </c>
      <c r="P175" t="s">
        <v>276</v>
      </c>
      <c r="Q175" t="s">
        <v>493</v>
      </c>
      <c r="R175" t="s">
        <v>70</v>
      </c>
      <c r="S175" t="s">
        <v>155</v>
      </c>
      <c r="T175" t="s">
        <v>50</v>
      </c>
      <c r="U175" t="s">
        <v>51</v>
      </c>
      <c r="V175">
        <v>10</v>
      </c>
      <c r="W175" t="s">
        <v>1031</v>
      </c>
      <c r="X175" s="2">
        <v>7332</v>
      </c>
      <c r="Y175" s="2">
        <v>73320</v>
      </c>
      <c r="Z175" t="s">
        <v>53</v>
      </c>
      <c r="AA175" s="3">
        <v>0.18</v>
      </c>
      <c r="AB175">
        <v>33071010</v>
      </c>
      <c r="AC175">
        <v>13200</v>
      </c>
      <c r="AD175" t="s">
        <v>217</v>
      </c>
      <c r="AE175" t="s">
        <v>126</v>
      </c>
      <c r="AF175" t="s">
        <v>56</v>
      </c>
      <c r="AG175" t="s">
        <v>218</v>
      </c>
    </row>
    <row r="176" spans="1:33" x14ac:dyDescent="0.3">
      <c r="A176" t="s">
        <v>733</v>
      </c>
      <c r="B176" t="s">
        <v>1036</v>
      </c>
      <c r="C176" s="1">
        <v>45256</v>
      </c>
      <c r="D176" s="1">
        <v>44466</v>
      </c>
      <c r="E176" t="s">
        <v>1037</v>
      </c>
      <c r="F176" t="s">
        <v>1038</v>
      </c>
      <c r="G176" t="s">
        <v>1039</v>
      </c>
      <c r="H176" t="s">
        <v>38</v>
      </c>
      <c r="I176" t="s">
        <v>163</v>
      </c>
      <c r="J176" t="s">
        <v>234</v>
      </c>
      <c r="K176" t="s">
        <v>41</v>
      </c>
      <c r="L176" t="s">
        <v>253</v>
      </c>
      <c r="M176" t="s">
        <v>43</v>
      </c>
      <c r="N176" t="s">
        <v>896</v>
      </c>
      <c r="O176" t="s">
        <v>321</v>
      </c>
      <c r="P176" t="s">
        <v>247</v>
      </c>
      <c r="Q176" t="s">
        <v>322</v>
      </c>
      <c r="R176" t="s">
        <v>107</v>
      </c>
      <c r="S176" t="s">
        <v>71</v>
      </c>
      <c r="T176" t="s">
        <v>178</v>
      </c>
      <c r="U176" t="s">
        <v>51</v>
      </c>
      <c r="V176">
        <v>10</v>
      </c>
      <c r="W176" t="s">
        <v>52</v>
      </c>
      <c r="X176" s="2">
        <v>7586</v>
      </c>
      <c r="Y176" s="2">
        <v>75860</v>
      </c>
      <c r="Z176" t="s">
        <v>53</v>
      </c>
      <c r="AA176" s="3">
        <v>0.18</v>
      </c>
      <c r="AB176">
        <v>33013091</v>
      </c>
      <c r="AC176">
        <v>13650</v>
      </c>
      <c r="AD176" t="s">
        <v>179</v>
      </c>
      <c r="AE176" t="s">
        <v>96</v>
      </c>
      <c r="AF176" t="s">
        <v>109</v>
      </c>
      <c r="AG176" t="s">
        <v>97</v>
      </c>
    </row>
    <row r="177" spans="1:33" x14ac:dyDescent="0.3">
      <c r="A177" t="s">
        <v>733</v>
      </c>
      <c r="B177" t="s">
        <v>1040</v>
      </c>
      <c r="C177" s="1">
        <v>45263</v>
      </c>
      <c r="D177" s="1">
        <v>44467</v>
      </c>
      <c r="E177" t="s">
        <v>1041</v>
      </c>
      <c r="F177" t="s">
        <v>1042</v>
      </c>
      <c r="G177" t="s">
        <v>1043</v>
      </c>
      <c r="H177" t="s">
        <v>62</v>
      </c>
      <c r="I177" t="s">
        <v>175</v>
      </c>
      <c r="J177" t="s">
        <v>243</v>
      </c>
      <c r="K177" t="s">
        <v>65</v>
      </c>
      <c r="L177" t="s">
        <v>117</v>
      </c>
      <c r="M177" t="s">
        <v>43</v>
      </c>
      <c r="N177" t="s">
        <v>896</v>
      </c>
      <c r="O177" t="s">
        <v>1044</v>
      </c>
      <c r="P177" t="s">
        <v>247</v>
      </c>
      <c r="Q177" t="s">
        <v>1045</v>
      </c>
      <c r="R177" t="s">
        <v>107</v>
      </c>
      <c r="S177" t="s">
        <v>123</v>
      </c>
      <c r="T177" t="s">
        <v>124</v>
      </c>
      <c r="U177" t="s">
        <v>73</v>
      </c>
      <c r="V177">
        <v>10</v>
      </c>
      <c r="W177" t="s">
        <v>52</v>
      </c>
      <c r="X177" s="2">
        <v>10776</v>
      </c>
      <c r="Y177" s="2">
        <v>107760</v>
      </c>
      <c r="Z177" t="s">
        <v>53</v>
      </c>
      <c r="AA177" s="3">
        <v>0.18</v>
      </c>
      <c r="AB177">
        <v>33012948</v>
      </c>
      <c r="AC177">
        <v>19400</v>
      </c>
      <c r="AD177" t="s">
        <v>189</v>
      </c>
      <c r="AE177" t="s">
        <v>55</v>
      </c>
      <c r="AF177" t="s">
        <v>109</v>
      </c>
      <c r="AG177" t="s">
        <v>361</v>
      </c>
    </row>
    <row r="178" spans="1:33" x14ac:dyDescent="0.3">
      <c r="A178" t="s">
        <v>733</v>
      </c>
      <c r="B178" t="s">
        <v>1046</v>
      </c>
      <c r="C178" s="1">
        <v>45262</v>
      </c>
      <c r="D178" s="1">
        <v>44468</v>
      </c>
      <c r="E178" t="s">
        <v>1047</v>
      </c>
      <c r="F178" t="s">
        <v>1048</v>
      </c>
      <c r="G178" t="s">
        <v>1049</v>
      </c>
      <c r="H178" t="s">
        <v>138</v>
      </c>
      <c r="I178" t="s">
        <v>185</v>
      </c>
      <c r="J178" t="s">
        <v>116</v>
      </c>
      <c r="K178" t="s">
        <v>194</v>
      </c>
      <c r="L178" t="s">
        <v>187</v>
      </c>
      <c r="M178" t="s">
        <v>66</v>
      </c>
      <c r="N178" t="s">
        <v>974</v>
      </c>
      <c r="O178" t="s">
        <v>482</v>
      </c>
      <c r="P178" t="s">
        <v>247</v>
      </c>
      <c r="Q178" t="s">
        <v>483</v>
      </c>
      <c r="R178" t="s">
        <v>48</v>
      </c>
      <c r="S178" t="s">
        <v>188</v>
      </c>
      <c r="T178" t="s">
        <v>197</v>
      </c>
      <c r="U178" t="s">
        <v>144</v>
      </c>
      <c r="V178">
        <v>10</v>
      </c>
      <c r="W178" t="s">
        <v>1031</v>
      </c>
      <c r="X178">
        <v>308</v>
      </c>
      <c r="Y178" s="2">
        <v>3080</v>
      </c>
      <c r="Z178" t="s">
        <v>53</v>
      </c>
      <c r="AA178" s="3">
        <v>0.18</v>
      </c>
      <c r="AB178">
        <v>33013091</v>
      </c>
      <c r="AC178">
        <v>550</v>
      </c>
      <c r="AD178" t="s">
        <v>157</v>
      </c>
      <c r="AE178" t="s">
        <v>75</v>
      </c>
      <c r="AF178" t="s">
        <v>109</v>
      </c>
      <c r="AG178" t="s">
        <v>169</v>
      </c>
    </row>
    <row r="179" spans="1:33" x14ac:dyDescent="0.3">
      <c r="A179" t="s">
        <v>733</v>
      </c>
      <c r="B179" t="s">
        <v>1050</v>
      </c>
      <c r="C179" s="1">
        <v>45262</v>
      </c>
      <c r="D179" s="1">
        <v>44469</v>
      </c>
      <c r="E179" t="s">
        <v>1051</v>
      </c>
      <c r="F179" t="s">
        <v>1052</v>
      </c>
      <c r="G179" t="s">
        <v>1053</v>
      </c>
      <c r="H179" t="s">
        <v>38</v>
      </c>
      <c r="I179" t="s">
        <v>39</v>
      </c>
      <c r="J179" t="s">
        <v>441</v>
      </c>
      <c r="K179" t="s">
        <v>41</v>
      </c>
      <c r="L179" t="s">
        <v>42</v>
      </c>
      <c r="M179" t="s">
        <v>140</v>
      </c>
      <c r="N179" t="s">
        <v>1054</v>
      </c>
      <c r="O179" t="s">
        <v>303</v>
      </c>
      <c r="P179" t="s">
        <v>247</v>
      </c>
      <c r="Q179" t="s">
        <v>304</v>
      </c>
      <c r="R179" t="s">
        <v>48</v>
      </c>
      <c r="S179" t="s">
        <v>49</v>
      </c>
      <c r="T179" t="s">
        <v>208</v>
      </c>
      <c r="U179" t="s">
        <v>168</v>
      </c>
      <c r="V179">
        <v>20</v>
      </c>
      <c r="W179" t="s">
        <v>1031</v>
      </c>
      <c r="X179">
        <v>753</v>
      </c>
      <c r="Y179" s="2">
        <v>15050</v>
      </c>
      <c r="Z179" t="s">
        <v>53</v>
      </c>
      <c r="AA179" s="3">
        <v>0.18</v>
      </c>
      <c r="AB179">
        <v>33012948</v>
      </c>
      <c r="AC179">
        <v>2710</v>
      </c>
      <c r="AD179" t="s">
        <v>95</v>
      </c>
      <c r="AE179" t="s">
        <v>180</v>
      </c>
      <c r="AF179" t="s">
        <v>109</v>
      </c>
      <c r="AG179" t="s">
        <v>57</v>
      </c>
    </row>
    <row r="180" spans="1:33" x14ac:dyDescent="0.3">
      <c r="A180" t="s">
        <v>733</v>
      </c>
      <c r="B180" t="s">
        <v>1055</v>
      </c>
      <c r="C180" s="1">
        <v>45262</v>
      </c>
      <c r="D180" s="1">
        <v>44470</v>
      </c>
      <c r="E180" t="s">
        <v>1056</v>
      </c>
      <c r="F180" t="s">
        <v>1057</v>
      </c>
      <c r="G180" t="s">
        <v>1058</v>
      </c>
      <c r="H180" t="s">
        <v>174</v>
      </c>
      <c r="I180" t="s">
        <v>175</v>
      </c>
      <c r="J180" t="s">
        <v>358</v>
      </c>
      <c r="K180" t="s">
        <v>41</v>
      </c>
      <c r="L180" t="s">
        <v>187</v>
      </c>
      <c r="M180" t="s">
        <v>244</v>
      </c>
      <c r="N180" t="s">
        <v>245</v>
      </c>
      <c r="O180" t="s">
        <v>310</v>
      </c>
      <c r="P180" t="s">
        <v>247</v>
      </c>
      <c r="Q180" t="s">
        <v>311</v>
      </c>
      <c r="R180" t="s">
        <v>122</v>
      </c>
      <c r="S180" t="s">
        <v>188</v>
      </c>
      <c r="T180" t="s">
        <v>50</v>
      </c>
      <c r="U180" t="s">
        <v>51</v>
      </c>
      <c r="V180">
        <v>20</v>
      </c>
      <c r="W180" t="s">
        <v>1031</v>
      </c>
      <c r="X180" s="2">
        <v>1006</v>
      </c>
      <c r="Y180" s="2">
        <v>20120</v>
      </c>
      <c r="Z180" t="s">
        <v>53</v>
      </c>
      <c r="AA180" s="3">
        <v>0.18</v>
      </c>
      <c r="AB180">
        <v>33051010</v>
      </c>
      <c r="AC180">
        <v>3620</v>
      </c>
      <c r="AD180" t="s">
        <v>217</v>
      </c>
      <c r="AE180" t="s">
        <v>145</v>
      </c>
      <c r="AF180" t="s">
        <v>76</v>
      </c>
      <c r="AG180" t="s">
        <v>77</v>
      </c>
    </row>
    <row r="181" spans="1:33" x14ac:dyDescent="0.3">
      <c r="A181" t="s">
        <v>733</v>
      </c>
      <c r="B181" t="s">
        <v>1059</v>
      </c>
      <c r="C181" s="1">
        <v>45270</v>
      </c>
      <c r="D181" s="1">
        <v>44478</v>
      </c>
      <c r="E181" t="s">
        <v>1060</v>
      </c>
      <c r="F181" t="s">
        <v>1061</v>
      </c>
      <c r="G181" t="s">
        <v>1062</v>
      </c>
      <c r="H181" t="s">
        <v>150</v>
      </c>
      <c r="I181" t="s">
        <v>185</v>
      </c>
      <c r="J181" t="s">
        <v>346</v>
      </c>
      <c r="K181" t="s">
        <v>65</v>
      </c>
      <c r="L181" t="s">
        <v>42</v>
      </c>
      <c r="M181" t="s">
        <v>140</v>
      </c>
      <c r="N181" t="s">
        <v>776</v>
      </c>
      <c r="O181" t="s">
        <v>257</v>
      </c>
      <c r="P181" t="s">
        <v>247</v>
      </c>
      <c r="Q181" t="s">
        <v>258</v>
      </c>
      <c r="R181" t="s">
        <v>70</v>
      </c>
      <c r="S181" t="s">
        <v>49</v>
      </c>
      <c r="T181" t="s">
        <v>197</v>
      </c>
      <c r="U181" t="s">
        <v>51</v>
      </c>
      <c r="V181">
        <v>10</v>
      </c>
      <c r="W181" t="s">
        <v>1031</v>
      </c>
      <c r="X181">
        <v>125</v>
      </c>
      <c r="Y181" s="2">
        <v>1250</v>
      </c>
      <c r="Z181" t="s">
        <v>53</v>
      </c>
      <c r="AA181" s="3">
        <v>0.18</v>
      </c>
      <c r="AB181">
        <v>33071010</v>
      </c>
      <c r="AC181">
        <v>220</v>
      </c>
      <c r="AD181" t="s">
        <v>95</v>
      </c>
      <c r="AE181" t="s">
        <v>126</v>
      </c>
      <c r="AF181" t="s">
        <v>76</v>
      </c>
      <c r="AG181" t="s">
        <v>77</v>
      </c>
    </row>
    <row r="182" spans="1:33" x14ac:dyDescent="0.3">
      <c r="A182" t="s">
        <v>733</v>
      </c>
      <c r="B182" t="s">
        <v>1063</v>
      </c>
      <c r="C182" s="1">
        <v>45272</v>
      </c>
      <c r="D182" s="1">
        <v>44481</v>
      </c>
      <c r="E182" t="s">
        <v>1064</v>
      </c>
      <c r="F182" t="s">
        <v>1065</v>
      </c>
      <c r="G182" t="s">
        <v>1066</v>
      </c>
      <c r="H182" t="s">
        <v>38</v>
      </c>
      <c r="I182" t="s">
        <v>63</v>
      </c>
      <c r="J182" t="s">
        <v>40</v>
      </c>
      <c r="K182" t="s">
        <v>41</v>
      </c>
      <c r="L182" t="s">
        <v>117</v>
      </c>
      <c r="M182" t="s">
        <v>235</v>
      </c>
      <c r="N182" t="s">
        <v>236</v>
      </c>
      <c r="O182" t="s">
        <v>255</v>
      </c>
      <c r="P182" t="s">
        <v>247</v>
      </c>
      <c r="Q182" t="s">
        <v>256</v>
      </c>
      <c r="R182" t="s">
        <v>107</v>
      </c>
      <c r="S182" t="s">
        <v>123</v>
      </c>
      <c r="T182" t="s">
        <v>72</v>
      </c>
      <c r="U182" t="s">
        <v>73</v>
      </c>
      <c r="V182">
        <v>10</v>
      </c>
      <c r="W182" t="s">
        <v>52</v>
      </c>
      <c r="X182">
        <v>839</v>
      </c>
      <c r="Y182" s="2">
        <v>8390</v>
      </c>
      <c r="Z182" t="s">
        <v>53</v>
      </c>
      <c r="AA182" s="3">
        <v>0.18</v>
      </c>
      <c r="AB182">
        <v>33030050</v>
      </c>
      <c r="AC182">
        <v>1510</v>
      </c>
      <c r="AD182" t="s">
        <v>217</v>
      </c>
      <c r="AE182" t="s">
        <v>209</v>
      </c>
      <c r="AF182" t="s">
        <v>109</v>
      </c>
      <c r="AG182" t="s">
        <v>57</v>
      </c>
    </row>
    <row r="183" spans="1:33" x14ac:dyDescent="0.3">
      <c r="A183" t="s">
        <v>733</v>
      </c>
      <c r="B183" t="s">
        <v>1067</v>
      </c>
      <c r="C183" s="1">
        <v>45277</v>
      </c>
      <c r="D183" s="1">
        <v>44482</v>
      </c>
      <c r="E183" t="s">
        <v>1068</v>
      </c>
      <c r="F183" t="s">
        <v>1069</v>
      </c>
      <c r="G183" t="s">
        <v>1070</v>
      </c>
      <c r="H183" t="s">
        <v>38</v>
      </c>
      <c r="I183" t="s">
        <v>39</v>
      </c>
      <c r="J183" t="s">
        <v>64</v>
      </c>
      <c r="K183" t="s">
        <v>65</v>
      </c>
      <c r="L183" t="s">
        <v>42</v>
      </c>
      <c r="M183" t="s">
        <v>244</v>
      </c>
      <c r="N183" t="s">
        <v>376</v>
      </c>
      <c r="O183" t="s">
        <v>246</v>
      </c>
      <c r="P183" t="s">
        <v>247</v>
      </c>
      <c r="Q183" t="s">
        <v>248</v>
      </c>
      <c r="R183" t="s">
        <v>107</v>
      </c>
      <c r="S183" t="s">
        <v>49</v>
      </c>
      <c r="T183" t="s">
        <v>178</v>
      </c>
      <c r="U183" t="s">
        <v>144</v>
      </c>
      <c r="V183">
        <v>20</v>
      </c>
      <c r="W183" t="s">
        <v>52</v>
      </c>
      <c r="X183" s="2">
        <v>4083</v>
      </c>
      <c r="Y183" s="2">
        <v>81670</v>
      </c>
      <c r="Z183" t="s">
        <v>53</v>
      </c>
      <c r="AA183" s="3">
        <v>0.18</v>
      </c>
      <c r="AB183">
        <v>33013091</v>
      </c>
      <c r="AC183">
        <v>14700</v>
      </c>
      <c r="AD183" t="s">
        <v>108</v>
      </c>
      <c r="AE183" t="s">
        <v>96</v>
      </c>
      <c r="AF183" t="s">
        <v>56</v>
      </c>
      <c r="AG183" t="s">
        <v>77</v>
      </c>
    </row>
    <row r="184" spans="1:33" x14ac:dyDescent="0.3">
      <c r="A184" t="s">
        <v>733</v>
      </c>
      <c r="B184" t="s">
        <v>1071</v>
      </c>
      <c r="C184" s="1">
        <v>45279</v>
      </c>
      <c r="D184" s="1">
        <v>44483</v>
      </c>
      <c r="E184" t="s">
        <v>1072</v>
      </c>
      <c r="F184" t="s">
        <v>1073</v>
      </c>
      <c r="G184" t="s">
        <v>1074</v>
      </c>
      <c r="H184" t="s">
        <v>62</v>
      </c>
      <c r="I184" t="s">
        <v>63</v>
      </c>
      <c r="J184" t="s">
        <v>358</v>
      </c>
      <c r="K184" t="s">
        <v>194</v>
      </c>
      <c r="L184" t="s">
        <v>253</v>
      </c>
      <c r="M184" t="s">
        <v>90</v>
      </c>
      <c r="N184" t="s">
        <v>214</v>
      </c>
      <c r="O184" t="s">
        <v>269</v>
      </c>
      <c r="P184" t="s">
        <v>247</v>
      </c>
      <c r="Q184" t="s">
        <v>270</v>
      </c>
      <c r="R184" t="s">
        <v>48</v>
      </c>
      <c r="S184" t="s">
        <v>71</v>
      </c>
      <c r="T184" t="s">
        <v>124</v>
      </c>
      <c r="U184" t="s">
        <v>168</v>
      </c>
      <c r="V184">
        <v>10</v>
      </c>
      <c r="W184" t="s">
        <v>52</v>
      </c>
      <c r="X184">
        <v>281</v>
      </c>
      <c r="Y184" s="2">
        <v>2810</v>
      </c>
      <c r="Z184" t="s">
        <v>53</v>
      </c>
      <c r="AA184" s="3">
        <v>0.18</v>
      </c>
      <c r="AB184">
        <v>33012948</v>
      </c>
      <c r="AC184">
        <v>510</v>
      </c>
      <c r="AD184" t="s">
        <v>54</v>
      </c>
      <c r="AE184" t="s">
        <v>55</v>
      </c>
      <c r="AF184" t="s">
        <v>76</v>
      </c>
      <c r="AG184" t="s">
        <v>199</v>
      </c>
    </row>
    <row r="185" spans="1:33" x14ac:dyDescent="0.3">
      <c r="A185" t="s">
        <v>733</v>
      </c>
      <c r="B185" t="s">
        <v>1075</v>
      </c>
      <c r="C185" s="1">
        <v>45340</v>
      </c>
      <c r="D185" s="1">
        <v>44484</v>
      </c>
      <c r="E185" t="s">
        <v>1076</v>
      </c>
      <c r="F185" t="s">
        <v>1077</v>
      </c>
      <c r="G185" t="s">
        <v>1078</v>
      </c>
      <c r="H185" t="s">
        <v>138</v>
      </c>
      <c r="I185" t="s">
        <v>39</v>
      </c>
      <c r="J185" t="s">
        <v>151</v>
      </c>
      <c r="K185" t="s">
        <v>41</v>
      </c>
      <c r="L185" t="s">
        <v>117</v>
      </c>
      <c r="M185" t="s">
        <v>153</v>
      </c>
      <c r="N185" t="s">
        <v>154</v>
      </c>
      <c r="O185" t="s">
        <v>348</v>
      </c>
      <c r="P185" t="s">
        <v>247</v>
      </c>
      <c r="Q185" t="s">
        <v>349</v>
      </c>
      <c r="R185" t="s">
        <v>48</v>
      </c>
      <c r="S185" t="s">
        <v>123</v>
      </c>
      <c r="T185" t="s">
        <v>197</v>
      </c>
      <c r="U185" t="s">
        <v>51</v>
      </c>
      <c r="V185">
        <v>10</v>
      </c>
      <c r="W185" t="s">
        <v>52</v>
      </c>
      <c r="X185">
        <v>308</v>
      </c>
      <c r="Y185" s="2">
        <v>3080</v>
      </c>
      <c r="Z185" t="s">
        <v>53</v>
      </c>
      <c r="AA185" s="3">
        <v>0.18</v>
      </c>
      <c r="AB185">
        <v>33013091</v>
      </c>
      <c r="AC185">
        <v>550</v>
      </c>
      <c r="AD185" t="s">
        <v>74</v>
      </c>
      <c r="AE185" t="s">
        <v>75</v>
      </c>
      <c r="AF185" t="s">
        <v>109</v>
      </c>
      <c r="AG185" t="s">
        <v>127</v>
      </c>
    </row>
    <row r="186" spans="1:33" x14ac:dyDescent="0.3">
      <c r="A186" t="s">
        <v>733</v>
      </c>
      <c r="B186" t="s">
        <v>1079</v>
      </c>
      <c r="C186" s="1">
        <v>45286</v>
      </c>
      <c r="D186" s="1">
        <v>44487</v>
      </c>
      <c r="E186" t="s">
        <v>1080</v>
      </c>
      <c r="F186" t="s">
        <v>1081</v>
      </c>
      <c r="G186" t="s">
        <v>1082</v>
      </c>
      <c r="H186" t="s">
        <v>38</v>
      </c>
      <c r="I186" t="s">
        <v>63</v>
      </c>
      <c r="J186" t="s">
        <v>89</v>
      </c>
      <c r="K186" t="s">
        <v>41</v>
      </c>
      <c r="L186" t="s">
        <v>117</v>
      </c>
      <c r="M186" t="s">
        <v>176</v>
      </c>
      <c r="N186" t="s">
        <v>177</v>
      </c>
      <c r="O186" t="s">
        <v>340</v>
      </c>
      <c r="P186" t="s">
        <v>338</v>
      </c>
      <c r="Q186" t="s">
        <v>341</v>
      </c>
      <c r="R186" t="s">
        <v>122</v>
      </c>
      <c r="S186" t="s">
        <v>123</v>
      </c>
      <c r="T186" t="s">
        <v>178</v>
      </c>
      <c r="U186" t="s">
        <v>168</v>
      </c>
      <c r="V186">
        <v>840</v>
      </c>
      <c r="W186" t="s">
        <v>52</v>
      </c>
      <c r="X186">
        <v>113</v>
      </c>
      <c r="Y186" s="2">
        <v>94790</v>
      </c>
      <c r="Z186" t="s">
        <v>53</v>
      </c>
      <c r="AA186" s="3">
        <v>0.18</v>
      </c>
      <c r="AB186">
        <v>33059090</v>
      </c>
      <c r="AC186">
        <v>17060</v>
      </c>
      <c r="AD186" t="s">
        <v>468</v>
      </c>
      <c r="AE186" t="s">
        <v>126</v>
      </c>
      <c r="AF186" t="s">
        <v>109</v>
      </c>
      <c r="AG186" t="s">
        <v>97</v>
      </c>
    </row>
    <row r="187" spans="1:33" x14ac:dyDescent="0.3">
      <c r="A187" t="s">
        <v>733</v>
      </c>
      <c r="B187" t="s">
        <v>1083</v>
      </c>
      <c r="C187" s="1">
        <v>45278</v>
      </c>
      <c r="D187" s="1">
        <v>44488</v>
      </c>
      <c r="E187" t="s">
        <v>1084</v>
      </c>
      <c r="F187" t="s">
        <v>541</v>
      </c>
      <c r="G187" t="s">
        <v>542</v>
      </c>
      <c r="H187" t="s">
        <v>62</v>
      </c>
      <c r="I187" t="s">
        <v>163</v>
      </c>
      <c r="J187" t="s">
        <v>40</v>
      </c>
      <c r="K187" t="s">
        <v>65</v>
      </c>
      <c r="L187" t="s">
        <v>187</v>
      </c>
      <c r="M187" t="s">
        <v>118</v>
      </c>
      <c r="N187" t="s">
        <v>119</v>
      </c>
      <c r="O187" t="s">
        <v>364</v>
      </c>
      <c r="P187" t="s">
        <v>338</v>
      </c>
      <c r="Q187" t="s">
        <v>365</v>
      </c>
      <c r="R187" t="s">
        <v>122</v>
      </c>
      <c r="S187" t="s">
        <v>188</v>
      </c>
      <c r="T187" t="s">
        <v>124</v>
      </c>
      <c r="U187" t="s">
        <v>51</v>
      </c>
      <c r="V187">
        <v>250</v>
      </c>
      <c r="W187" t="s">
        <v>52</v>
      </c>
      <c r="X187" s="2">
        <v>1946</v>
      </c>
      <c r="Y187" s="2">
        <v>486530</v>
      </c>
      <c r="Z187" t="s">
        <v>53</v>
      </c>
      <c r="AA187" s="3">
        <v>0.18</v>
      </c>
      <c r="AB187">
        <v>33049930</v>
      </c>
      <c r="AC187">
        <v>87570</v>
      </c>
      <c r="AD187" t="s">
        <v>157</v>
      </c>
      <c r="AE187" t="s">
        <v>180</v>
      </c>
      <c r="AF187" t="s">
        <v>56</v>
      </c>
      <c r="AG187" t="s">
        <v>361</v>
      </c>
    </row>
    <row r="188" spans="1:33" x14ac:dyDescent="0.3">
      <c r="A188" t="s">
        <v>733</v>
      </c>
      <c r="B188" t="s">
        <v>1085</v>
      </c>
      <c r="C188" s="1">
        <v>45279</v>
      </c>
      <c r="D188" s="1">
        <v>44489</v>
      </c>
      <c r="E188" t="s">
        <v>1086</v>
      </c>
      <c r="F188" t="s">
        <v>1087</v>
      </c>
      <c r="G188" t="s">
        <v>1088</v>
      </c>
      <c r="H188" t="s">
        <v>138</v>
      </c>
      <c r="I188" t="s">
        <v>39</v>
      </c>
      <c r="J188" t="s">
        <v>64</v>
      </c>
      <c r="K188" t="s">
        <v>194</v>
      </c>
      <c r="L188" t="s">
        <v>152</v>
      </c>
      <c r="M188" t="s">
        <v>195</v>
      </c>
      <c r="N188" t="s">
        <v>347</v>
      </c>
      <c r="O188" t="s">
        <v>362</v>
      </c>
      <c r="P188" t="s">
        <v>338</v>
      </c>
      <c r="Q188" t="s">
        <v>363</v>
      </c>
      <c r="R188" t="s">
        <v>48</v>
      </c>
      <c r="S188" t="s">
        <v>155</v>
      </c>
      <c r="T188" t="s">
        <v>197</v>
      </c>
      <c r="U188" t="s">
        <v>73</v>
      </c>
      <c r="V188">
        <v>40</v>
      </c>
      <c r="W188" t="s">
        <v>52</v>
      </c>
      <c r="X188" s="2">
        <v>1946</v>
      </c>
      <c r="Y188" s="2">
        <v>77840</v>
      </c>
      <c r="Z188" t="s">
        <v>53</v>
      </c>
      <c r="AA188" s="3">
        <v>0.18</v>
      </c>
      <c r="AB188">
        <v>33041000</v>
      </c>
      <c r="AC188">
        <v>14010</v>
      </c>
      <c r="AD188" t="s">
        <v>95</v>
      </c>
      <c r="AE188" t="s">
        <v>145</v>
      </c>
      <c r="AF188" t="s">
        <v>76</v>
      </c>
      <c r="AG188" t="s">
        <v>57</v>
      </c>
    </row>
    <row r="189" spans="1:33" x14ac:dyDescent="0.3">
      <c r="A189" t="s">
        <v>733</v>
      </c>
      <c r="B189" t="s">
        <v>1089</v>
      </c>
      <c r="C189" s="1">
        <v>45280</v>
      </c>
      <c r="D189" s="1">
        <v>44490</v>
      </c>
      <c r="E189" t="s">
        <v>1090</v>
      </c>
      <c r="F189" t="s">
        <v>547</v>
      </c>
      <c r="G189" t="s">
        <v>548</v>
      </c>
      <c r="H189" t="s">
        <v>174</v>
      </c>
      <c r="I189" t="s">
        <v>63</v>
      </c>
      <c r="J189" t="s">
        <v>358</v>
      </c>
      <c r="K189" t="s">
        <v>41</v>
      </c>
      <c r="L189" t="s">
        <v>42</v>
      </c>
      <c r="M189" t="s">
        <v>204</v>
      </c>
      <c r="N189" t="s">
        <v>205</v>
      </c>
      <c r="O189" t="s">
        <v>359</v>
      </c>
      <c r="P189" t="s">
        <v>338</v>
      </c>
      <c r="Q189" t="s">
        <v>360</v>
      </c>
      <c r="R189" t="s">
        <v>70</v>
      </c>
      <c r="S189" t="s">
        <v>49</v>
      </c>
      <c r="T189" t="s">
        <v>50</v>
      </c>
      <c r="U189" t="s">
        <v>51</v>
      </c>
      <c r="V189">
        <v>40</v>
      </c>
      <c r="W189" t="s">
        <v>52</v>
      </c>
      <c r="X189" s="2">
        <v>1166</v>
      </c>
      <c r="Y189" s="2">
        <v>46640</v>
      </c>
      <c r="Z189" t="s">
        <v>53</v>
      </c>
      <c r="AA189" s="3">
        <v>0.18</v>
      </c>
      <c r="AB189">
        <v>33071010</v>
      </c>
      <c r="AC189">
        <v>8400</v>
      </c>
      <c r="AD189" t="s">
        <v>217</v>
      </c>
      <c r="AE189" t="s">
        <v>126</v>
      </c>
      <c r="AF189" t="s">
        <v>109</v>
      </c>
      <c r="AG189" t="s">
        <v>77</v>
      </c>
    </row>
    <row r="190" spans="1:33" x14ac:dyDescent="0.3">
      <c r="A190" t="s">
        <v>733</v>
      </c>
      <c r="B190" t="s">
        <v>1091</v>
      </c>
      <c r="C190" s="1">
        <v>45281</v>
      </c>
      <c r="D190" s="1">
        <v>44491</v>
      </c>
      <c r="E190" t="s">
        <v>1092</v>
      </c>
      <c r="F190" t="s">
        <v>1093</v>
      </c>
      <c r="G190" t="s">
        <v>1094</v>
      </c>
      <c r="H190" t="s">
        <v>150</v>
      </c>
      <c r="I190" t="s">
        <v>163</v>
      </c>
      <c r="J190" t="s">
        <v>151</v>
      </c>
      <c r="K190" t="s">
        <v>65</v>
      </c>
      <c r="L190" t="s">
        <v>253</v>
      </c>
      <c r="M190" t="s">
        <v>694</v>
      </c>
      <c r="N190" t="s">
        <v>695</v>
      </c>
      <c r="O190" t="s">
        <v>389</v>
      </c>
      <c r="P190" t="s">
        <v>338</v>
      </c>
      <c r="Q190" t="s">
        <v>390</v>
      </c>
      <c r="R190" t="s">
        <v>70</v>
      </c>
      <c r="S190" t="s">
        <v>71</v>
      </c>
      <c r="T190" t="s">
        <v>72</v>
      </c>
      <c r="U190" t="s">
        <v>51</v>
      </c>
      <c r="V190">
        <v>40</v>
      </c>
      <c r="W190" t="s">
        <v>52</v>
      </c>
      <c r="X190">
        <v>31</v>
      </c>
      <c r="Y190" s="2">
        <v>1250</v>
      </c>
      <c r="Z190" t="s">
        <v>53</v>
      </c>
      <c r="AA190" s="3">
        <v>0.18</v>
      </c>
      <c r="AB190">
        <v>33030050</v>
      </c>
      <c r="AC190">
        <v>220</v>
      </c>
      <c r="AD190" t="s">
        <v>108</v>
      </c>
      <c r="AE190" t="s">
        <v>209</v>
      </c>
      <c r="AF190" t="s">
        <v>56</v>
      </c>
      <c r="AG190" t="s">
        <v>199</v>
      </c>
    </row>
    <row r="191" spans="1:33" x14ac:dyDescent="0.3">
      <c r="A191" t="s">
        <v>733</v>
      </c>
      <c r="B191" t="s">
        <v>1095</v>
      </c>
      <c r="C191" s="1">
        <v>45281</v>
      </c>
      <c r="D191" s="1">
        <v>44491</v>
      </c>
      <c r="E191" t="s">
        <v>1096</v>
      </c>
      <c r="F191" t="s">
        <v>1097</v>
      </c>
      <c r="G191" t="s">
        <v>1098</v>
      </c>
      <c r="H191" t="s">
        <v>38</v>
      </c>
      <c r="I191" t="s">
        <v>39</v>
      </c>
      <c r="J191" t="s">
        <v>474</v>
      </c>
      <c r="K191" t="s">
        <v>194</v>
      </c>
      <c r="L191" t="s">
        <v>117</v>
      </c>
      <c r="M191" t="s">
        <v>90</v>
      </c>
      <c r="N191" t="s">
        <v>214</v>
      </c>
      <c r="O191" t="s">
        <v>395</v>
      </c>
      <c r="P191" t="s">
        <v>338</v>
      </c>
      <c r="Q191" t="s">
        <v>396</v>
      </c>
      <c r="R191" t="s">
        <v>70</v>
      </c>
      <c r="S191" t="s">
        <v>123</v>
      </c>
      <c r="T191" t="s">
        <v>178</v>
      </c>
      <c r="U191" t="s">
        <v>73</v>
      </c>
      <c r="V191">
        <v>40</v>
      </c>
      <c r="W191" t="s">
        <v>52</v>
      </c>
      <c r="X191" s="2">
        <v>10842</v>
      </c>
      <c r="Y191" s="2">
        <v>433680</v>
      </c>
      <c r="Z191" t="s">
        <v>53</v>
      </c>
      <c r="AA191" s="3">
        <v>0.18</v>
      </c>
      <c r="AB191">
        <v>33051010</v>
      </c>
      <c r="AC191">
        <v>78060</v>
      </c>
      <c r="AD191" t="s">
        <v>54</v>
      </c>
      <c r="AE191" t="s">
        <v>96</v>
      </c>
      <c r="AF191" t="s">
        <v>56</v>
      </c>
      <c r="AG191" t="s">
        <v>127</v>
      </c>
    </row>
    <row r="192" spans="1:33" x14ac:dyDescent="0.3">
      <c r="A192" t="s">
        <v>733</v>
      </c>
      <c r="B192" t="s">
        <v>1099</v>
      </c>
      <c r="C192" s="1">
        <v>45280</v>
      </c>
      <c r="D192" s="1">
        <v>44491</v>
      </c>
      <c r="E192" t="s">
        <v>1100</v>
      </c>
      <c r="F192" t="s">
        <v>1101</v>
      </c>
      <c r="G192" t="s">
        <v>1102</v>
      </c>
      <c r="H192" t="s">
        <v>62</v>
      </c>
      <c r="I192" t="s">
        <v>63</v>
      </c>
      <c r="J192" t="s">
        <v>139</v>
      </c>
      <c r="K192" t="s">
        <v>41</v>
      </c>
      <c r="L192" t="s">
        <v>187</v>
      </c>
      <c r="M192" t="s">
        <v>694</v>
      </c>
      <c r="N192" t="s">
        <v>695</v>
      </c>
      <c r="O192" t="s">
        <v>350</v>
      </c>
      <c r="P192" t="s">
        <v>338</v>
      </c>
      <c r="Q192" t="s">
        <v>351</v>
      </c>
      <c r="R192" t="s">
        <v>70</v>
      </c>
      <c r="S192" t="s">
        <v>188</v>
      </c>
      <c r="T192" t="s">
        <v>124</v>
      </c>
      <c r="U192" t="s">
        <v>51</v>
      </c>
      <c r="V192">
        <v>10</v>
      </c>
      <c r="W192" t="s">
        <v>52</v>
      </c>
      <c r="X192" s="2">
        <v>11766</v>
      </c>
      <c r="Y192" s="2">
        <v>117660</v>
      </c>
      <c r="Z192" t="s">
        <v>53</v>
      </c>
      <c r="AA192" s="3">
        <v>0.18</v>
      </c>
      <c r="AB192">
        <v>33059090</v>
      </c>
      <c r="AC192">
        <v>21180</v>
      </c>
      <c r="AD192" t="s">
        <v>74</v>
      </c>
      <c r="AE192" t="s">
        <v>55</v>
      </c>
      <c r="AF192" t="s">
        <v>76</v>
      </c>
      <c r="AG192" t="s">
        <v>218</v>
      </c>
    </row>
    <row r="193" spans="1:33" x14ac:dyDescent="0.3">
      <c r="A193" t="s">
        <v>733</v>
      </c>
      <c r="B193" t="s">
        <v>1103</v>
      </c>
      <c r="C193" s="1">
        <v>45276</v>
      </c>
      <c r="D193" s="1">
        <v>44491</v>
      </c>
      <c r="E193" t="s">
        <v>1104</v>
      </c>
      <c r="F193" t="s">
        <v>1105</v>
      </c>
      <c r="G193" t="s">
        <v>1106</v>
      </c>
      <c r="H193" t="s">
        <v>138</v>
      </c>
      <c r="I193" t="s">
        <v>63</v>
      </c>
      <c r="J193" t="s">
        <v>89</v>
      </c>
      <c r="K193" t="s">
        <v>41</v>
      </c>
      <c r="L193" t="s">
        <v>42</v>
      </c>
      <c r="M193" t="s">
        <v>43</v>
      </c>
      <c r="N193" t="s">
        <v>44</v>
      </c>
      <c r="O193" t="s">
        <v>352</v>
      </c>
      <c r="P193" t="s">
        <v>338</v>
      </c>
      <c r="Q193" t="s">
        <v>353</v>
      </c>
      <c r="R193" t="s">
        <v>70</v>
      </c>
      <c r="S193" t="s">
        <v>49</v>
      </c>
      <c r="T193" t="s">
        <v>197</v>
      </c>
      <c r="U193" t="s">
        <v>73</v>
      </c>
      <c r="V193">
        <v>170</v>
      </c>
      <c r="W193" t="s">
        <v>52</v>
      </c>
      <c r="X193" s="2">
        <v>1833</v>
      </c>
      <c r="Y193" s="2">
        <v>311610</v>
      </c>
      <c r="Z193" t="s">
        <v>53</v>
      </c>
      <c r="AA193" s="3">
        <v>0.18</v>
      </c>
      <c r="AB193">
        <v>33049930</v>
      </c>
      <c r="AC193">
        <v>56090</v>
      </c>
      <c r="AD193" t="s">
        <v>125</v>
      </c>
      <c r="AE193" t="s">
        <v>75</v>
      </c>
      <c r="AF193" t="s">
        <v>109</v>
      </c>
      <c r="AG193" t="s">
        <v>158</v>
      </c>
    </row>
    <row r="194" spans="1:33" x14ac:dyDescent="0.3">
      <c r="A194" t="s">
        <v>733</v>
      </c>
      <c r="B194" t="s">
        <v>1107</v>
      </c>
      <c r="C194" s="1">
        <v>45281</v>
      </c>
      <c r="D194" s="1">
        <v>44491</v>
      </c>
      <c r="E194" t="s">
        <v>1108</v>
      </c>
      <c r="F194" t="s">
        <v>1109</v>
      </c>
      <c r="G194" t="s">
        <v>1110</v>
      </c>
      <c r="H194" t="s">
        <v>38</v>
      </c>
      <c r="I194" t="s">
        <v>63</v>
      </c>
      <c r="J194" t="s">
        <v>186</v>
      </c>
      <c r="K194" t="s">
        <v>65</v>
      </c>
      <c r="L194" t="s">
        <v>253</v>
      </c>
      <c r="M194" t="s">
        <v>66</v>
      </c>
      <c r="N194" t="s">
        <v>638</v>
      </c>
      <c r="O194" t="s">
        <v>383</v>
      </c>
      <c r="P194" t="s">
        <v>338</v>
      </c>
      <c r="Q194" t="s">
        <v>384</v>
      </c>
      <c r="R194" t="s">
        <v>94</v>
      </c>
      <c r="S194" t="s">
        <v>71</v>
      </c>
      <c r="T194" t="s">
        <v>208</v>
      </c>
      <c r="U194" t="s">
        <v>51</v>
      </c>
      <c r="V194">
        <v>210</v>
      </c>
      <c r="W194" t="s">
        <v>52</v>
      </c>
      <c r="X194" s="2">
        <v>4435</v>
      </c>
      <c r="Y194" s="2">
        <v>931290</v>
      </c>
      <c r="Z194" t="s">
        <v>53</v>
      </c>
      <c r="AA194" s="3">
        <v>0.18</v>
      </c>
      <c r="AB194">
        <v>33041000</v>
      </c>
      <c r="AC194">
        <v>167630</v>
      </c>
      <c r="AD194" t="s">
        <v>320</v>
      </c>
      <c r="AE194" t="s">
        <v>180</v>
      </c>
      <c r="AF194" t="s">
        <v>56</v>
      </c>
      <c r="AG194" t="s">
        <v>97</v>
      </c>
    </row>
    <row r="195" spans="1:33" x14ac:dyDescent="0.3">
      <c r="A195" t="s">
        <v>733</v>
      </c>
      <c r="B195" t="s">
        <v>1111</v>
      </c>
      <c r="C195" s="1">
        <v>45281</v>
      </c>
      <c r="D195" s="1">
        <v>44491</v>
      </c>
      <c r="E195" t="s">
        <v>1112</v>
      </c>
      <c r="F195" t="s">
        <v>1113</v>
      </c>
      <c r="G195" t="s">
        <v>1114</v>
      </c>
      <c r="H195" t="s">
        <v>62</v>
      </c>
      <c r="I195" t="s">
        <v>63</v>
      </c>
      <c r="J195" t="s">
        <v>40</v>
      </c>
      <c r="K195" t="s">
        <v>41</v>
      </c>
      <c r="L195" t="s">
        <v>117</v>
      </c>
      <c r="M195" t="s">
        <v>140</v>
      </c>
      <c r="N195" t="s">
        <v>776</v>
      </c>
      <c r="O195" t="s">
        <v>377</v>
      </c>
      <c r="P195" t="s">
        <v>338</v>
      </c>
      <c r="Q195" t="s">
        <v>378</v>
      </c>
      <c r="R195" t="s">
        <v>107</v>
      </c>
      <c r="S195" t="s">
        <v>123</v>
      </c>
      <c r="T195" t="s">
        <v>50</v>
      </c>
      <c r="U195" t="s">
        <v>73</v>
      </c>
      <c r="V195">
        <v>170</v>
      </c>
      <c r="W195" t="s">
        <v>52</v>
      </c>
      <c r="X195">
        <v>720</v>
      </c>
      <c r="Y195" s="2">
        <v>122370</v>
      </c>
      <c r="Z195" t="s">
        <v>53</v>
      </c>
      <c r="AA195" s="3">
        <v>0.18</v>
      </c>
      <c r="AB195">
        <v>33071010</v>
      </c>
      <c r="AC195">
        <v>22030</v>
      </c>
      <c r="AD195" t="s">
        <v>468</v>
      </c>
      <c r="AE195" t="s">
        <v>145</v>
      </c>
      <c r="AF195" t="s">
        <v>56</v>
      </c>
      <c r="AG195" t="s">
        <v>361</v>
      </c>
    </row>
    <row r="196" spans="1:33" x14ac:dyDescent="0.3">
      <c r="A196" t="s">
        <v>733</v>
      </c>
      <c r="B196" t="s">
        <v>1115</v>
      </c>
      <c r="C196" s="1">
        <v>45281</v>
      </c>
      <c r="D196" s="1">
        <v>44491</v>
      </c>
      <c r="E196" t="s">
        <v>1116</v>
      </c>
      <c r="F196" t="s">
        <v>1117</v>
      </c>
      <c r="G196" t="s">
        <v>1118</v>
      </c>
      <c r="H196" t="s">
        <v>138</v>
      </c>
      <c r="I196" t="s">
        <v>163</v>
      </c>
      <c r="J196" t="s">
        <v>64</v>
      </c>
      <c r="K196" t="s">
        <v>41</v>
      </c>
      <c r="L196" t="s">
        <v>42</v>
      </c>
      <c r="M196" t="s">
        <v>267</v>
      </c>
      <c r="N196" t="s">
        <v>411</v>
      </c>
      <c r="O196" t="s">
        <v>427</v>
      </c>
      <c r="P196" t="s">
        <v>338</v>
      </c>
      <c r="Q196" t="s">
        <v>428</v>
      </c>
      <c r="R196" t="s">
        <v>107</v>
      </c>
      <c r="S196" t="s">
        <v>49</v>
      </c>
      <c r="T196" t="s">
        <v>50</v>
      </c>
      <c r="U196" t="s">
        <v>144</v>
      </c>
      <c r="V196">
        <v>170</v>
      </c>
      <c r="W196" t="s">
        <v>52</v>
      </c>
      <c r="X196" s="2">
        <v>1716</v>
      </c>
      <c r="Y196" s="2">
        <v>291720</v>
      </c>
      <c r="Z196" t="s">
        <v>53</v>
      </c>
      <c r="AA196" s="3">
        <v>0.18</v>
      </c>
      <c r="AB196">
        <v>33030050</v>
      </c>
      <c r="AC196">
        <v>52510</v>
      </c>
      <c r="AD196" t="s">
        <v>157</v>
      </c>
      <c r="AE196" t="s">
        <v>126</v>
      </c>
      <c r="AF196" t="s">
        <v>56</v>
      </c>
      <c r="AG196" t="s">
        <v>169</v>
      </c>
    </row>
    <row r="197" spans="1:33" x14ac:dyDescent="0.3">
      <c r="A197" t="s">
        <v>733</v>
      </c>
      <c r="B197" t="s">
        <v>1119</v>
      </c>
      <c r="C197" s="1">
        <v>45288</v>
      </c>
      <c r="D197" s="1">
        <v>44498</v>
      </c>
      <c r="E197" t="s">
        <v>1120</v>
      </c>
      <c r="F197" t="s">
        <v>1121</v>
      </c>
      <c r="G197" t="s">
        <v>1122</v>
      </c>
      <c r="H197" t="s">
        <v>174</v>
      </c>
      <c r="I197" t="s">
        <v>175</v>
      </c>
      <c r="J197" t="s">
        <v>358</v>
      </c>
      <c r="K197" t="s">
        <v>41</v>
      </c>
      <c r="L197" t="s">
        <v>253</v>
      </c>
      <c r="M197" t="s">
        <v>235</v>
      </c>
      <c r="N197" t="s">
        <v>236</v>
      </c>
      <c r="O197" t="s">
        <v>433</v>
      </c>
      <c r="P197" t="s">
        <v>338</v>
      </c>
      <c r="Q197" t="s">
        <v>434</v>
      </c>
      <c r="R197" t="s">
        <v>48</v>
      </c>
      <c r="S197" t="s">
        <v>71</v>
      </c>
      <c r="T197" t="s">
        <v>50</v>
      </c>
      <c r="U197" t="s">
        <v>168</v>
      </c>
      <c r="V197">
        <v>170</v>
      </c>
      <c r="W197" t="s">
        <v>52</v>
      </c>
      <c r="X197">
        <v>982</v>
      </c>
      <c r="Y197" s="2">
        <v>166960</v>
      </c>
      <c r="Z197" t="s">
        <v>53</v>
      </c>
      <c r="AA197" s="3">
        <v>0.18</v>
      </c>
      <c r="AB197">
        <v>33013091</v>
      </c>
      <c r="AC197">
        <v>30050</v>
      </c>
      <c r="AD197" t="s">
        <v>95</v>
      </c>
      <c r="AE197" t="s">
        <v>209</v>
      </c>
      <c r="AF197" t="s">
        <v>56</v>
      </c>
      <c r="AG197" t="s">
        <v>57</v>
      </c>
    </row>
    <row r="198" spans="1:33" x14ac:dyDescent="0.3">
      <c r="A198" t="s">
        <v>733</v>
      </c>
      <c r="B198" t="s">
        <v>1123</v>
      </c>
      <c r="C198" s="1">
        <v>45289</v>
      </c>
      <c r="D198" s="1">
        <v>44499</v>
      </c>
      <c r="E198" t="s">
        <v>1124</v>
      </c>
      <c r="F198" t="s">
        <v>1125</v>
      </c>
      <c r="G198" t="s">
        <v>1126</v>
      </c>
      <c r="H198" t="s">
        <v>150</v>
      </c>
      <c r="I198" t="s">
        <v>185</v>
      </c>
      <c r="J198" t="s">
        <v>151</v>
      </c>
      <c r="K198" t="s">
        <v>65</v>
      </c>
      <c r="L198" t="s">
        <v>117</v>
      </c>
      <c r="M198" t="s">
        <v>244</v>
      </c>
      <c r="N198" t="s">
        <v>376</v>
      </c>
      <c r="O198" t="s">
        <v>370</v>
      </c>
      <c r="P198" t="s">
        <v>338</v>
      </c>
      <c r="Q198" t="s">
        <v>371</v>
      </c>
      <c r="R198" t="s">
        <v>48</v>
      </c>
      <c r="S198" t="s">
        <v>123</v>
      </c>
      <c r="T198" t="s">
        <v>72</v>
      </c>
      <c r="U198" t="s">
        <v>51</v>
      </c>
      <c r="V198">
        <v>170</v>
      </c>
      <c r="W198" t="s">
        <v>52</v>
      </c>
      <c r="X198">
        <v>38</v>
      </c>
      <c r="Y198" s="2">
        <v>6460</v>
      </c>
      <c r="Z198" t="s">
        <v>53</v>
      </c>
      <c r="AA198" s="3">
        <v>0.18</v>
      </c>
      <c r="AB198">
        <v>33012948</v>
      </c>
      <c r="AC198">
        <v>1160</v>
      </c>
      <c r="AD198" t="s">
        <v>217</v>
      </c>
      <c r="AE198" t="s">
        <v>96</v>
      </c>
      <c r="AF198" t="s">
        <v>109</v>
      </c>
      <c r="AG198" t="s">
        <v>77</v>
      </c>
    </row>
    <row r="199" spans="1:33" x14ac:dyDescent="0.3">
      <c r="A199" t="s">
        <v>733</v>
      </c>
      <c r="B199" t="s">
        <v>1127</v>
      </c>
      <c r="C199" s="1">
        <v>45290</v>
      </c>
      <c r="D199" s="1">
        <v>44500</v>
      </c>
      <c r="E199" t="s">
        <v>1128</v>
      </c>
      <c r="F199" t="s">
        <v>781</v>
      </c>
      <c r="G199" t="s">
        <v>782</v>
      </c>
      <c r="H199" t="s">
        <v>38</v>
      </c>
      <c r="I199" t="s">
        <v>39</v>
      </c>
      <c r="J199" t="s">
        <v>474</v>
      </c>
      <c r="K199" t="s">
        <v>41</v>
      </c>
      <c r="L199" t="s">
        <v>187</v>
      </c>
      <c r="M199" t="s">
        <v>90</v>
      </c>
      <c r="N199" t="s">
        <v>214</v>
      </c>
      <c r="O199" t="s">
        <v>405</v>
      </c>
      <c r="P199" t="s">
        <v>338</v>
      </c>
      <c r="Q199" t="s">
        <v>406</v>
      </c>
      <c r="R199" t="s">
        <v>122</v>
      </c>
      <c r="S199" t="s">
        <v>188</v>
      </c>
      <c r="T199" t="s">
        <v>178</v>
      </c>
      <c r="U199" t="s">
        <v>73</v>
      </c>
      <c r="V199">
        <v>210</v>
      </c>
      <c r="W199" t="s">
        <v>1031</v>
      </c>
      <c r="X199">
        <v>38</v>
      </c>
      <c r="Y199" s="2">
        <v>7980</v>
      </c>
      <c r="Z199" t="s">
        <v>53</v>
      </c>
      <c r="AA199" s="3">
        <v>0.18</v>
      </c>
      <c r="AB199">
        <v>33013091</v>
      </c>
      <c r="AC199">
        <v>1440</v>
      </c>
      <c r="AD199" t="s">
        <v>108</v>
      </c>
      <c r="AE199" t="s">
        <v>55</v>
      </c>
      <c r="AF199" t="s">
        <v>109</v>
      </c>
      <c r="AG199" t="s">
        <v>199</v>
      </c>
    </row>
    <row r="200" spans="1:33" x14ac:dyDescent="0.3">
      <c r="A200" t="s">
        <v>733</v>
      </c>
      <c r="B200" t="s">
        <v>1129</v>
      </c>
      <c r="C200" s="1">
        <v>45291</v>
      </c>
      <c r="D200" s="1">
        <v>44501</v>
      </c>
      <c r="E200" t="s">
        <v>1130</v>
      </c>
      <c r="F200" t="s">
        <v>551</v>
      </c>
      <c r="G200" t="s">
        <v>552</v>
      </c>
      <c r="H200" t="s">
        <v>62</v>
      </c>
      <c r="I200" t="s">
        <v>63</v>
      </c>
      <c r="J200" t="s">
        <v>139</v>
      </c>
      <c r="K200" t="s">
        <v>65</v>
      </c>
      <c r="L200" t="s">
        <v>42</v>
      </c>
      <c r="M200" t="s">
        <v>153</v>
      </c>
      <c r="N200" t="s">
        <v>154</v>
      </c>
      <c r="O200" t="s">
        <v>401</v>
      </c>
      <c r="P200" t="s">
        <v>338</v>
      </c>
      <c r="Q200" t="s">
        <v>402</v>
      </c>
      <c r="R200" t="s">
        <v>122</v>
      </c>
      <c r="S200" t="s">
        <v>49</v>
      </c>
      <c r="T200" t="s">
        <v>124</v>
      </c>
      <c r="U200" t="s">
        <v>144</v>
      </c>
      <c r="V200">
        <v>170</v>
      </c>
      <c r="W200" t="s">
        <v>52</v>
      </c>
      <c r="X200">
        <v>21</v>
      </c>
      <c r="Y200" s="2">
        <v>3630</v>
      </c>
      <c r="Z200" t="s">
        <v>53</v>
      </c>
      <c r="AA200" s="3">
        <v>0.18</v>
      </c>
      <c r="AB200">
        <v>33012948</v>
      </c>
      <c r="AC200">
        <v>650</v>
      </c>
      <c r="AD200" t="s">
        <v>179</v>
      </c>
      <c r="AE200" t="s">
        <v>75</v>
      </c>
      <c r="AF200" t="s">
        <v>109</v>
      </c>
      <c r="AG200" t="s">
        <v>127</v>
      </c>
    </row>
    <row r="201" spans="1:33" x14ac:dyDescent="0.3">
      <c r="A201" t="s">
        <v>733</v>
      </c>
      <c r="B201" t="s">
        <v>1131</v>
      </c>
      <c r="C201" s="1">
        <v>45298</v>
      </c>
      <c r="D201" s="1">
        <v>44502</v>
      </c>
      <c r="E201" t="s">
        <v>1132</v>
      </c>
      <c r="F201" t="s">
        <v>399</v>
      </c>
      <c r="G201" t="s">
        <v>400</v>
      </c>
      <c r="H201" t="s">
        <v>62</v>
      </c>
      <c r="I201" t="s">
        <v>163</v>
      </c>
      <c r="J201" t="s">
        <v>116</v>
      </c>
      <c r="K201" t="s">
        <v>194</v>
      </c>
      <c r="L201" t="s">
        <v>187</v>
      </c>
      <c r="M201" t="s">
        <v>66</v>
      </c>
      <c r="N201" t="s">
        <v>67</v>
      </c>
      <c r="O201" t="s">
        <v>403</v>
      </c>
      <c r="P201" t="s">
        <v>338</v>
      </c>
      <c r="Q201" t="s">
        <v>404</v>
      </c>
      <c r="R201" t="s">
        <v>122</v>
      </c>
      <c r="S201" t="s">
        <v>188</v>
      </c>
      <c r="T201" t="s">
        <v>197</v>
      </c>
      <c r="U201" t="s">
        <v>51</v>
      </c>
      <c r="V201">
        <v>10</v>
      </c>
      <c r="W201" t="s">
        <v>52</v>
      </c>
      <c r="X201" s="2">
        <v>34710</v>
      </c>
      <c r="Y201" s="2">
        <v>347100</v>
      </c>
      <c r="Z201" t="s">
        <v>53</v>
      </c>
      <c r="AA201" s="3">
        <v>0.18</v>
      </c>
      <c r="AB201">
        <v>33051010</v>
      </c>
      <c r="AC201">
        <v>62480</v>
      </c>
      <c r="AD201" t="s">
        <v>189</v>
      </c>
      <c r="AE201" t="s">
        <v>180</v>
      </c>
      <c r="AF201" t="s">
        <v>109</v>
      </c>
      <c r="AG201" t="s">
        <v>218</v>
      </c>
    </row>
    <row r="202" spans="1:33" x14ac:dyDescent="0.3">
      <c r="A202" t="s">
        <v>733</v>
      </c>
      <c r="B202" t="s">
        <v>1133</v>
      </c>
      <c r="C202" s="1">
        <v>45299</v>
      </c>
      <c r="D202" s="1">
        <v>44503</v>
      </c>
      <c r="E202" t="s">
        <v>1134</v>
      </c>
      <c r="F202" t="s">
        <v>1135</v>
      </c>
      <c r="G202" t="s">
        <v>1136</v>
      </c>
      <c r="H202" t="s">
        <v>138</v>
      </c>
      <c r="I202" t="s">
        <v>185</v>
      </c>
      <c r="J202" t="s">
        <v>441</v>
      </c>
      <c r="K202" t="s">
        <v>41</v>
      </c>
      <c r="L202" t="s">
        <v>152</v>
      </c>
      <c r="M202" t="s">
        <v>140</v>
      </c>
      <c r="N202" t="s">
        <v>1054</v>
      </c>
      <c r="O202" t="s">
        <v>444</v>
      </c>
      <c r="P202" t="s">
        <v>46</v>
      </c>
      <c r="Q202" t="s">
        <v>445</v>
      </c>
      <c r="R202" t="s">
        <v>48</v>
      </c>
      <c r="S202" t="s">
        <v>155</v>
      </c>
      <c r="T202" t="s">
        <v>50</v>
      </c>
      <c r="U202" t="s">
        <v>73</v>
      </c>
      <c r="V202">
        <v>10</v>
      </c>
      <c r="W202" t="s">
        <v>52</v>
      </c>
      <c r="X202" s="2">
        <v>37113</v>
      </c>
      <c r="Y202" s="2">
        <v>371130</v>
      </c>
      <c r="Z202" t="s">
        <v>53</v>
      </c>
      <c r="AA202" s="3">
        <v>0.18</v>
      </c>
      <c r="AB202">
        <v>33059090</v>
      </c>
      <c r="AC202">
        <v>66800</v>
      </c>
      <c r="AD202" t="s">
        <v>54</v>
      </c>
      <c r="AE202" t="s">
        <v>145</v>
      </c>
      <c r="AF202" t="s">
        <v>76</v>
      </c>
      <c r="AG202" t="s">
        <v>158</v>
      </c>
    </row>
    <row r="203" spans="1:33" x14ac:dyDescent="0.3">
      <c r="A203" t="s">
        <v>733</v>
      </c>
      <c r="B203" t="s">
        <v>1137</v>
      </c>
      <c r="C203" s="1">
        <v>45279</v>
      </c>
      <c r="D203" s="1">
        <v>44504</v>
      </c>
      <c r="E203" t="s">
        <v>1138</v>
      </c>
      <c r="F203" t="s">
        <v>1139</v>
      </c>
      <c r="G203" t="s">
        <v>1140</v>
      </c>
      <c r="H203" t="s">
        <v>174</v>
      </c>
      <c r="I203" t="s">
        <v>39</v>
      </c>
      <c r="J203" t="s">
        <v>346</v>
      </c>
      <c r="K203" t="s">
        <v>65</v>
      </c>
      <c r="L203" t="s">
        <v>42</v>
      </c>
      <c r="M203" t="s">
        <v>267</v>
      </c>
      <c r="N203" t="s">
        <v>411</v>
      </c>
      <c r="O203" t="s">
        <v>414</v>
      </c>
      <c r="P203" t="s">
        <v>46</v>
      </c>
      <c r="Q203" t="s">
        <v>415</v>
      </c>
      <c r="R203" t="s">
        <v>48</v>
      </c>
      <c r="S203" t="s">
        <v>49</v>
      </c>
      <c r="T203" t="s">
        <v>72</v>
      </c>
      <c r="U203" t="s">
        <v>144</v>
      </c>
      <c r="V203">
        <v>10</v>
      </c>
      <c r="W203" t="s">
        <v>52</v>
      </c>
      <c r="X203" s="2">
        <v>27960</v>
      </c>
      <c r="Y203" s="2">
        <v>279600</v>
      </c>
      <c r="Z203" t="s">
        <v>53</v>
      </c>
      <c r="AA203" s="3">
        <v>0.18</v>
      </c>
      <c r="AB203">
        <v>33049930</v>
      </c>
      <c r="AC203">
        <v>50330</v>
      </c>
      <c r="AD203" t="s">
        <v>74</v>
      </c>
      <c r="AE203" t="s">
        <v>126</v>
      </c>
      <c r="AF203" t="s">
        <v>76</v>
      </c>
      <c r="AG203" t="s">
        <v>97</v>
      </c>
    </row>
    <row r="204" spans="1:33" x14ac:dyDescent="0.3">
      <c r="A204" t="s">
        <v>733</v>
      </c>
      <c r="B204" t="s">
        <v>1141</v>
      </c>
      <c r="C204" s="1">
        <v>45301</v>
      </c>
      <c r="D204" s="1">
        <v>44505</v>
      </c>
      <c r="E204" t="s">
        <v>1142</v>
      </c>
      <c r="F204" t="s">
        <v>1143</v>
      </c>
      <c r="G204" t="s">
        <v>1144</v>
      </c>
      <c r="H204" t="s">
        <v>38</v>
      </c>
      <c r="I204" t="s">
        <v>63</v>
      </c>
      <c r="J204" t="s">
        <v>571</v>
      </c>
      <c r="K204" t="s">
        <v>41</v>
      </c>
      <c r="L204" t="s">
        <v>253</v>
      </c>
      <c r="M204" t="s">
        <v>235</v>
      </c>
      <c r="N204" t="s">
        <v>236</v>
      </c>
      <c r="O204" t="s">
        <v>412</v>
      </c>
      <c r="P204" t="s">
        <v>338</v>
      </c>
      <c r="Q204" t="s">
        <v>413</v>
      </c>
      <c r="R204" t="s">
        <v>70</v>
      </c>
      <c r="S204" t="s">
        <v>71</v>
      </c>
      <c r="T204" t="s">
        <v>178</v>
      </c>
      <c r="U204" t="s">
        <v>51</v>
      </c>
      <c r="V204">
        <v>10</v>
      </c>
      <c r="W204" t="s">
        <v>52</v>
      </c>
      <c r="X204" s="2">
        <v>1052</v>
      </c>
      <c r="Y204" s="2">
        <v>10520</v>
      </c>
      <c r="Z204" t="s">
        <v>53</v>
      </c>
      <c r="AA204" s="3">
        <v>0.18</v>
      </c>
      <c r="AB204">
        <v>33051010</v>
      </c>
      <c r="AC204">
        <v>1890</v>
      </c>
      <c r="AD204" t="s">
        <v>125</v>
      </c>
      <c r="AE204" t="s">
        <v>180</v>
      </c>
      <c r="AF204" t="s">
        <v>76</v>
      </c>
      <c r="AG204" t="s">
        <v>361</v>
      </c>
    </row>
    <row r="205" spans="1:33" x14ac:dyDescent="0.3">
      <c r="A205" t="s">
        <v>733</v>
      </c>
      <c r="B205" t="s">
        <v>1145</v>
      </c>
      <c r="C205" s="1">
        <v>45301</v>
      </c>
      <c r="D205" s="1">
        <v>44505</v>
      </c>
      <c r="E205" t="s">
        <v>1146</v>
      </c>
      <c r="F205" t="s">
        <v>1147</v>
      </c>
      <c r="G205" t="s">
        <v>1148</v>
      </c>
      <c r="H205" t="s">
        <v>62</v>
      </c>
      <c r="I205" t="s">
        <v>163</v>
      </c>
      <c r="J205" t="s">
        <v>40</v>
      </c>
      <c r="K205" t="s">
        <v>65</v>
      </c>
      <c r="L205" t="s">
        <v>117</v>
      </c>
      <c r="M205" t="s">
        <v>244</v>
      </c>
      <c r="N205" t="s">
        <v>376</v>
      </c>
      <c r="O205" t="s">
        <v>442</v>
      </c>
      <c r="P205" t="s">
        <v>46</v>
      </c>
      <c r="Q205" t="s">
        <v>443</v>
      </c>
      <c r="R205" t="s">
        <v>70</v>
      </c>
      <c r="S205" t="s">
        <v>123</v>
      </c>
      <c r="T205" t="s">
        <v>124</v>
      </c>
      <c r="U205" t="s">
        <v>73</v>
      </c>
      <c r="V205">
        <v>10</v>
      </c>
      <c r="W205" t="s">
        <v>52</v>
      </c>
      <c r="X205" s="2">
        <v>24030</v>
      </c>
      <c r="Y205" s="2">
        <v>240300</v>
      </c>
      <c r="Z205" t="s">
        <v>53</v>
      </c>
      <c r="AA205" s="3">
        <v>0.18</v>
      </c>
      <c r="AB205">
        <v>33059090</v>
      </c>
      <c r="AC205">
        <v>43250</v>
      </c>
      <c r="AD205" t="s">
        <v>320</v>
      </c>
      <c r="AE205" t="s">
        <v>145</v>
      </c>
      <c r="AF205" t="s">
        <v>76</v>
      </c>
      <c r="AG205" t="s">
        <v>57</v>
      </c>
    </row>
    <row r="206" spans="1:33" x14ac:dyDescent="0.3">
      <c r="A206" t="s">
        <v>733</v>
      </c>
      <c r="B206" t="s">
        <v>1149</v>
      </c>
      <c r="C206" s="1">
        <v>45301</v>
      </c>
      <c r="D206" s="1">
        <v>44505</v>
      </c>
      <c r="E206" t="s">
        <v>1150</v>
      </c>
      <c r="F206" t="s">
        <v>1151</v>
      </c>
      <c r="G206" t="s">
        <v>1152</v>
      </c>
      <c r="H206" t="s">
        <v>138</v>
      </c>
      <c r="I206" t="s">
        <v>175</v>
      </c>
      <c r="J206" t="s">
        <v>64</v>
      </c>
      <c r="K206" t="s">
        <v>194</v>
      </c>
      <c r="L206" t="s">
        <v>187</v>
      </c>
      <c r="M206" t="s">
        <v>90</v>
      </c>
      <c r="N206" t="s">
        <v>469</v>
      </c>
      <c r="O206" t="s">
        <v>460</v>
      </c>
      <c r="P206" t="s">
        <v>46</v>
      </c>
      <c r="Q206" t="s">
        <v>461</v>
      </c>
      <c r="R206" t="s">
        <v>70</v>
      </c>
      <c r="S206" t="s">
        <v>188</v>
      </c>
      <c r="T206" t="s">
        <v>197</v>
      </c>
      <c r="U206" t="s">
        <v>51</v>
      </c>
      <c r="V206">
        <v>10</v>
      </c>
      <c r="W206" t="s">
        <v>52</v>
      </c>
      <c r="X206" s="2">
        <v>4407</v>
      </c>
      <c r="Y206" s="2">
        <v>44070</v>
      </c>
      <c r="Z206" t="s">
        <v>53</v>
      </c>
      <c r="AA206" s="3">
        <v>0.18</v>
      </c>
      <c r="AB206">
        <v>33049930</v>
      </c>
      <c r="AC206">
        <v>7930</v>
      </c>
      <c r="AD206" t="s">
        <v>468</v>
      </c>
      <c r="AE206" t="s">
        <v>126</v>
      </c>
      <c r="AF206" t="s">
        <v>56</v>
      </c>
      <c r="AG206" t="s">
        <v>77</v>
      </c>
    </row>
    <row r="207" spans="1:33" x14ac:dyDescent="0.3">
      <c r="A207" t="s">
        <v>733</v>
      </c>
      <c r="B207" t="s">
        <v>1153</v>
      </c>
      <c r="C207" s="1">
        <v>45283</v>
      </c>
      <c r="D207" s="1">
        <v>44508</v>
      </c>
      <c r="E207" t="s">
        <v>1154</v>
      </c>
      <c r="F207" t="s">
        <v>525</v>
      </c>
      <c r="G207" t="s">
        <v>526</v>
      </c>
      <c r="H207" t="s">
        <v>174</v>
      </c>
      <c r="I207" t="s">
        <v>185</v>
      </c>
      <c r="J207" t="s">
        <v>358</v>
      </c>
      <c r="K207" t="s">
        <v>194</v>
      </c>
      <c r="L207" t="s">
        <v>152</v>
      </c>
      <c r="M207" t="s">
        <v>153</v>
      </c>
      <c r="N207" t="s">
        <v>154</v>
      </c>
      <c r="O207" t="s">
        <v>464</v>
      </c>
      <c r="P207" t="s">
        <v>46</v>
      </c>
      <c r="Q207" t="s">
        <v>465</v>
      </c>
      <c r="R207" t="s">
        <v>70</v>
      </c>
      <c r="S207" t="s">
        <v>155</v>
      </c>
      <c r="T207" t="s">
        <v>50</v>
      </c>
      <c r="U207" t="s">
        <v>73</v>
      </c>
      <c r="V207">
        <v>10</v>
      </c>
      <c r="W207" t="s">
        <v>52</v>
      </c>
      <c r="X207" s="2">
        <v>5702</v>
      </c>
      <c r="Y207" s="2">
        <v>57020</v>
      </c>
      <c r="Z207" t="s">
        <v>53</v>
      </c>
      <c r="AA207" s="3">
        <v>0.18</v>
      </c>
      <c r="AB207">
        <v>33041000</v>
      </c>
      <c r="AC207">
        <v>10260</v>
      </c>
      <c r="AD207" t="s">
        <v>157</v>
      </c>
      <c r="AE207" t="s">
        <v>209</v>
      </c>
      <c r="AF207" t="s">
        <v>56</v>
      </c>
      <c r="AG207" t="s">
        <v>199</v>
      </c>
    </row>
    <row r="208" spans="1:33" x14ac:dyDescent="0.3">
      <c r="A208" t="s">
        <v>733</v>
      </c>
      <c r="B208" t="s">
        <v>1155</v>
      </c>
      <c r="C208" s="1">
        <v>45305</v>
      </c>
      <c r="D208" s="1">
        <v>44509</v>
      </c>
      <c r="E208" t="s">
        <v>1156</v>
      </c>
      <c r="F208" t="s">
        <v>531</v>
      </c>
      <c r="G208" t="s">
        <v>532</v>
      </c>
      <c r="H208" t="s">
        <v>38</v>
      </c>
      <c r="I208" t="s">
        <v>185</v>
      </c>
      <c r="J208" t="s">
        <v>151</v>
      </c>
      <c r="K208" t="s">
        <v>41</v>
      </c>
      <c r="L208" t="s">
        <v>42</v>
      </c>
      <c r="M208" t="s">
        <v>103</v>
      </c>
      <c r="N208" t="s">
        <v>104</v>
      </c>
      <c r="O208" t="s">
        <v>462</v>
      </c>
      <c r="P208" t="s">
        <v>46</v>
      </c>
      <c r="Q208" t="s">
        <v>463</v>
      </c>
      <c r="R208" t="s">
        <v>70</v>
      </c>
      <c r="S208" t="s">
        <v>49</v>
      </c>
      <c r="T208" t="s">
        <v>50</v>
      </c>
      <c r="U208" t="s">
        <v>51</v>
      </c>
      <c r="V208">
        <v>10</v>
      </c>
      <c r="W208" t="s">
        <v>52</v>
      </c>
      <c r="X208">
        <v>224</v>
      </c>
      <c r="Y208" s="2">
        <v>2240</v>
      </c>
      <c r="Z208" t="s">
        <v>53</v>
      </c>
      <c r="AA208" s="3">
        <v>0.18</v>
      </c>
      <c r="AB208">
        <v>33071010</v>
      </c>
      <c r="AC208">
        <v>400</v>
      </c>
      <c r="AD208" t="s">
        <v>95</v>
      </c>
      <c r="AE208" t="s">
        <v>96</v>
      </c>
      <c r="AF208" t="s">
        <v>56</v>
      </c>
      <c r="AG208" t="s">
        <v>127</v>
      </c>
    </row>
    <row r="209" spans="1:33" x14ac:dyDescent="0.3">
      <c r="A209" t="s">
        <v>733</v>
      </c>
      <c r="B209" t="s">
        <v>1157</v>
      </c>
      <c r="C209" s="1">
        <v>45305</v>
      </c>
      <c r="D209" s="1">
        <v>44509</v>
      </c>
      <c r="E209" t="s">
        <v>1158</v>
      </c>
      <c r="F209" t="s">
        <v>537</v>
      </c>
      <c r="G209" t="s">
        <v>538</v>
      </c>
      <c r="H209" t="s">
        <v>62</v>
      </c>
      <c r="I209" t="s">
        <v>185</v>
      </c>
      <c r="J209" t="s">
        <v>474</v>
      </c>
      <c r="K209" t="s">
        <v>65</v>
      </c>
      <c r="L209" t="s">
        <v>42</v>
      </c>
      <c r="M209" t="s">
        <v>164</v>
      </c>
      <c r="N209" t="s">
        <v>309</v>
      </c>
      <c r="O209" t="s">
        <v>45</v>
      </c>
      <c r="P209" t="s">
        <v>46</v>
      </c>
      <c r="Q209" t="s">
        <v>47</v>
      </c>
      <c r="R209" t="s">
        <v>94</v>
      </c>
      <c r="S209" t="s">
        <v>49</v>
      </c>
      <c r="T209" t="s">
        <v>72</v>
      </c>
      <c r="U209" t="s">
        <v>73</v>
      </c>
      <c r="V209">
        <v>10</v>
      </c>
      <c r="W209" t="s">
        <v>298</v>
      </c>
      <c r="X209" s="2">
        <v>7172</v>
      </c>
      <c r="Y209" s="2">
        <v>71720</v>
      </c>
      <c r="Z209" t="s">
        <v>53</v>
      </c>
      <c r="AA209" s="3">
        <v>0.18</v>
      </c>
      <c r="AB209">
        <v>33030050</v>
      </c>
      <c r="AC209">
        <v>12910</v>
      </c>
      <c r="AD209" t="s">
        <v>217</v>
      </c>
      <c r="AE209" t="s">
        <v>55</v>
      </c>
      <c r="AF209" t="s">
        <v>56</v>
      </c>
      <c r="AG209" t="s">
        <v>57</v>
      </c>
    </row>
    <row r="210" spans="1:33" x14ac:dyDescent="0.3">
      <c r="A210" t="s">
        <v>733</v>
      </c>
      <c r="B210" t="s">
        <v>1159</v>
      </c>
      <c r="C210" s="1">
        <v>45305</v>
      </c>
      <c r="D210" s="1">
        <v>44509</v>
      </c>
      <c r="E210" t="s">
        <v>1160</v>
      </c>
      <c r="F210" t="s">
        <v>1161</v>
      </c>
      <c r="G210" t="s">
        <v>1162</v>
      </c>
      <c r="H210" t="s">
        <v>138</v>
      </c>
      <c r="I210" t="s">
        <v>163</v>
      </c>
      <c r="J210" t="s">
        <v>139</v>
      </c>
      <c r="K210" t="s">
        <v>41</v>
      </c>
      <c r="L210" t="s">
        <v>42</v>
      </c>
      <c r="M210" t="s">
        <v>176</v>
      </c>
      <c r="N210" t="s">
        <v>177</v>
      </c>
      <c r="O210" t="s">
        <v>221</v>
      </c>
      <c r="P210" t="s">
        <v>46</v>
      </c>
      <c r="Q210" t="s">
        <v>222</v>
      </c>
      <c r="R210" t="s">
        <v>107</v>
      </c>
      <c r="S210" t="s">
        <v>49</v>
      </c>
      <c r="T210" t="s">
        <v>178</v>
      </c>
      <c r="U210" t="s">
        <v>144</v>
      </c>
      <c r="V210">
        <v>10</v>
      </c>
      <c r="W210" t="s">
        <v>52</v>
      </c>
      <c r="X210" s="2">
        <v>4272</v>
      </c>
      <c r="Y210" s="2">
        <v>42720</v>
      </c>
      <c r="Z210" t="s">
        <v>53</v>
      </c>
      <c r="AA210" s="3">
        <v>0.18</v>
      </c>
      <c r="AB210">
        <v>33051010</v>
      </c>
      <c r="AC210">
        <v>7690</v>
      </c>
      <c r="AD210" t="s">
        <v>108</v>
      </c>
      <c r="AE210" t="s">
        <v>75</v>
      </c>
      <c r="AF210" t="s">
        <v>76</v>
      </c>
      <c r="AG210" t="s">
        <v>77</v>
      </c>
    </row>
    <row r="211" spans="1:33" x14ac:dyDescent="0.3">
      <c r="A211" t="s">
        <v>733</v>
      </c>
      <c r="B211" t="s">
        <v>1163</v>
      </c>
      <c r="C211" s="1">
        <v>45305</v>
      </c>
      <c r="D211" s="1">
        <v>44509</v>
      </c>
      <c r="E211" t="s">
        <v>1164</v>
      </c>
      <c r="F211" t="s">
        <v>1165</v>
      </c>
      <c r="G211" t="s">
        <v>1166</v>
      </c>
      <c r="H211" t="s">
        <v>38</v>
      </c>
      <c r="I211" t="s">
        <v>163</v>
      </c>
      <c r="J211" t="s">
        <v>89</v>
      </c>
      <c r="K211" t="s">
        <v>65</v>
      </c>
      <c r="L211" t="s">
        <v>42</v>
      </c>
      <c r="M211" t="s">
        <v>118</v>
      </c>
      <c r="N211" t="s">
        <v>1167</v>
      </c>
      <c r="O211" t="s">
        <v>519</v>
      </c>
      <c r="P211" t="s">
        <v>46</v>
      </c>
      <c r="Q211" t="s">
        <v>520</v>
      </c>
      <c r="R211" t="s">
        <v>107</v>
      </c>
      <c r="S211" t="s">
        <v>49</v>
      </c>
      <c r="T211" t="s">
        <v>124</v>
      </c>
      <c r="U211" t="s">
        <v>168</v>
      </c>
      <c r="V211">
        <v>10</v>
      </c>
      <c r="W211" t="s">
        <v>52</v>
      </c>
      <c r="X211" s="2">
        <v>17353</v>
      </c>
      <c r="Y211" s="2">
        <v>173530</v>
      </c>
      <c r="Z211" t="s">
        <v>53</v>
      </c>
      <c r="AA211" s="3">
        <v>0.18</v>
      </c>
      <c r="AB211">
        <v>33059090</v>
      </c>
      <c r="AC211">
        <v>31240</v>
      </c>
      <c r="AD211" t="s">
        <v>179</v>
      </c>
      <c r="AE211" t="s">
        <v>180</v>
      </c>
      <c r="AF211" t="s">
        <v>56</v>
      </c>
      <c r="AG211" t="s">
        <v>199</v>
      </c>
    </row>
    <row r="212" spans="1:33" x14ac:dyDescent="0.3">
      <c r="A212" t="s">
        <v>733</v>
      </c>
      <c r="B212" t="s">
        <v>1168</v>
      </c>
      <c r="C212" s="1">
        <v>45274</v>
      </c>
      <c r="D212" s="1">
        <v>44509</v>
      </c>
      <c r="E212" t="s">
        <v>1169</v>
      </c>
      <c r="F212" t="s">
        <v>1170</v>
      </c>
      <c r="G212" t="s">
        <v>1171</v>
      </c>
      <c r="H212" t="s">
        <v>62</v>
      </c>
      <c r="I212" t="s">
        <v>63</v>
      </c>
      <c r="J212" t="s">
        <v>186</v>
      </c>
      <c r="K212" t="s">
        <v>194</v>
      </c>
      <c r="L212" t="s">
        <v>42</v>
      </c>
      <c r="M212" t="s">
        <v>195</v>
      </c>
      <c r="N212" t="s">
        <v>347</v>
      </c>
      <c r="O212" t="s">
        <v>517</v>
      </c>
      <c r="P212" t="s">
        <v>46</v>
      </c>
      <c r="Q212" t="s">
        <v>518</v>
      </c>
      <c r="R212" t="s">
        <v>48</v>
      </c>
      <c r="S212" t="s">
        <v>49</v>
      </c>
      <c r="T212" t="s">
        <v>197</v>
      </c>
      <c r="U212" t="s">
        <v>51</v>
      </c>
      <c r="V212">
        <v>10</v>
      </c>
      <c r="W212" t="s">
        <v>52</v>
      </c>
      <c r="X212" s="2">
        <v>9365</v>
      </c>
      <c r="Y212" s="2">
        <v>93650</v>
      </c>
      <c r="Z212" t="s">
        <v>53</v>
      </c>
      <c r="AA212" s="3">
        <v>0.18</v>
      </c>
      <c r="AB212">
        <v>33049930</v>
      </c>
      <c r="AC212">
        <v>16860</v>
      </c>
      <c r="AD212" t="s">
        <v>189</v>
      </c>
      <c r="AE212" t="s">
        <v>145</v>
      </c>
      <c r="AF212" t="s">
        <v>76</v>
      </c>
      <c r="AG212" t="s">
        <v>127</v>
      </c>
    </row>
    <row r="213" spans="1:33" x14ac:dyDescent="0.3">
      <c r="A213" t="s">
        <v>733</v>
      </c>
      <c r="B213" t="s">
        <v>1172</v>
      </c>
      <c r="C213" s="1">
        <v>45278</v>
      </c>
      <c r="D213" s="1">
        <v>44538</v>
      </c>
      <c r="E213" t="s">
        <v>1173</v>
      </c>
      <c r="F213" t="s">
        <v>1174</v>
      </c>
      <c r="G213" t="s">
        <v>1175</v>
      </c>
      <c r="H213" t="s">
        <v>38</v>
      </c>
      <c r="I213" t="s">
        <v>185</v>
      </c>
      <c r="J213" t="s">
        <v>102</v>
      </c>
      <c r="K213" t="s">
        <v>194</v>
      </c>
      <c r="L213" t="s">
        <v>42</v>
      </c>
      <c r="M213" t="s">
        <v>797</v>
      </c>
      <c r="N213" t="s">
        <v>929</v>
      </c>
      <c r="O213" t="s">
        <v>501</v>
      </c>
      <c r="P213" t="s">
        <v>276</v>
      </c>
      <c r="Q213" t="s">
        <v>502</v>
      </c>
      <c r="R213" t="s">
        <v>107</v>
      </c>
      <c r="S213" t="s">
        <v>49</v>
      </c>
      <c r="T213" t="s">
        <v>50</v>
      </c>
      <c r="U213" t="s">
        <v>51</v>
      </c>
      <c r="V213">
        <v>50</v>
      </c>
      <c r="W213" t="s">
        <v>52</v>
      </c>
      <c r="X213">
        <v>638</v>
      </c>
      <c r="Y213" s="2">
        <v>31900</v>
      </c>
      <c r="Z213" t="s">
        <v>53</v>
      </c>
      <c r="AA213" s="3">
        <v>0.18</v>
      </c>
      <c r="AB213">
        <v>33030050</v>
      </c>
      <c r="AC213">
        <v>5740</v>
      </c>
      <c r="AD213" t="s">
        <v>468</v>
      </c>
      <c r="AE213" t="s">
        <v>126</v>
      </c>
      <c r="AF213" t="s">
        <v>76</v>
      </c>
      <c r="AG213" t="s">
        <v>77</v>
      </c>
    </row>
    <row r="214" spans="1:33" x14ac:dyDescent="0.3">
      <c r="A214" t="s">
        <v>733</v>
      </c>
      <c r="B214" t="s">
        <v>1176</v>
      </c>
      <c r="C214" s="1">
        <v>45289</v>
      </c>
      <c r="D214" s="1">
        <v>44539</v>
      </c>
      <c r="E214" t="s">
        <v>1177</v>
      </c>
      <c r="F214" t="s">
        <v>1178</v>
      </c>
      <c r="G214" t="s">
        <v>1179</v>
      </c>
      <c r="H214" t="s">
        <v>62</v>
      </c>
      <c r="I214" t="s">
        <v>39</v>
      </c>
      <c r="J214" t="s">
        <v>234</v>
      </c>
      <c r="K214" t="s">
        <v>41</v>
      </c>
      <c r="L214" t="s">
        <v>42</v>
      </c>
      <c r="M214" t="s">
        <v>43</v>
      </c>
      <c r="N214" t="s">
        <v>44</v>
      </c>
      <c r="O214" t="s">
        <v>494</v>
      </c>
      <c r="P214" t="s">
        <v>276</v>
      </c>
      <c r="Q214" t="s">
        <v>495</v>
      </c>
      <c r="R214" t="s">
        <v>107</v>
      </c>
      <c r="S214" t="s">
        <v>49</v>
      </c>
      <c r="T214" t="s">
        <v>72</v>
      </c>
      <c r="U214" t="s">
        <v>73</v>
      </c>
      <c r="V214">
        <v>150</v>
      </c>
      <c r="W214" t="s">
        <v>52</v>
      </c>
      <c r="X214">
        <v>528</v>
      </c>
      <c r="Y214" s="2">
        <v>79200</v>
      </c>
      <c r="Z214" t="s">
        <v>53</v>
      </c>
      <c r="AA214" s="3">
        <v>0.18</v>
      </c>
      <c r="AB214">
        <v>33013091</v>
      </c>
      <c r="AC214">
        <v>14260</v>
      </c>
      <c r="AD214" t="s">
        <v>157</v>
      </c>
      <c r="AE214" t="s">
        <v>180</v>
      </c>
      <c r="AF214" t="s">
        <v>56</v>
      </c>
      <c r="AG214" t="s">
        <v>199</v>
      </c>
    </row>
    <row r="215" spans="1:33" x14ac:dyDescent="0.3">
      <c r="A215" t="s">
        <v>733</v>
      </c>
      <c r="B215" t="s">
        <v>1180</v>
      </c>
      <c r="C215" s="1">
        <v>45310</v>
      </c>
      <c r="D215" s="1">
        <v>44539</v>
      </c>
      <c r="E215" t="s">
        <v>1181</v>
      </c>
      <c r="F215" t="s">
        <v>1182</v>
      </c>
      <c r="G215" t="s">
        <v>1183</v>
      </c>
      <c r="H215" t="s">
        <v>38</v>
      </c>
      <c r="I215" t="s">
        <v>63</v>
      </c>
      <c r="J215" t="s">
        <v>243</v>
      </c>
      <c r="K215" t="s">
        <v>65</v>
      </c>
      <c r="L215" t="s">
        <v>253</v>
      </c>
      <c r="M215" t="s">
        <v>66</v>
      </c>
      <c r="N215" t="s">
        <v>974</v>
      </c>
      <c r="O215" t="s">
        <v>327</v>
      </c>
      <c r="P215" t="s">
        <v>276</v>
      </c>
      <c r="Q215" t="s">
        <v>328</v>
      </c>
      <c r="R215" t="s">
        <v>48</v>
      </c>
      <c r="S215" t="s">
        <v>71</v>
      </c>
      <c r="T215" t="s">
        <v>178</v>
      </c>
      <c r="U215" t="s">
        <v>144</v>
      </c>
      <c r="V215">
        <v>10</v>
      </c>
      <c r="W215" t="s">
        <v>52</v>
      </c>
      <c r="X215">
        <v>672</v>
      </c>
      <c r="Y215" s="2">
        <v>6720</v>
      </c>
      <c r="Z215" t="s">
        <v>53</v>
      </c>
      <c r="AA215" s="3">
        <v>0.18</v>
      </c>
      <c r="AB215">
        <v>33012948</v>
      </c>
      <c r="AC215">
        <v>1210</v>
      </c>
      <c r="AD215" t="s">
        <v>95</v>
      </c>
      <c r="AE215" t="s">
        <v>145</v>
      </c>
      <c r="AF215" t="s">
        <v>56</v>
      </c>
      <c r="AG215" t="s">
        <v>127</v>
      </c>
    </row>
    <row r="216" spans="1:33" x14ac:dyDescent="0.3">
      <c r="A216" t="s">
        <v>733</v>
      </c>
      <c r="B216" t="s">
        <v>1184</v>
      </c>
      <c r="C216" s="1">
        <v>45313</v>
      </c>
      <c r="D216" s="1">
        <v>44541</v>
      </c>
      <c r="E216" t="s">
        <v>1185</v>
      </c>
      <c r="F216" t="s">
        <v>1186</v>
      </c>
      <c r="G216" t="s">
        <v>1187</v>
      </c>
      <c r="H216" t="s">
        <v>62</v>
      </c>
      <c r="I216" t="s">
        <v>39</v>
      </c>
      <c r="J216" t="s">
        <v>116</v>
      </c>
      <c r="K216" t="s">
        <v>194</v>
      </c>
      <c r="L216" t="s">
        <v>117</v>
      </c>
      <c r="M216" t="s">
        <v>140</v>
      </c>
      <c r="N216" t="s">
        <v>227</v>
      </c>
      <c r="O216" t="s">
        <v>492</v>
      </c>
      <c r="P216" t="s">
        <v>276</v>
      </c>
      <c r="Q216" t="s">
        <v>493</v>
      </c>
      <c r="R216" t="s">
        <v>48</v>
      </c>
      <c r="S216" t="s">
        <v>123</v>
      </c>
      <c r="T216" t="s">
        <v>124</v>
      </c>
      <c r="U216" t="s">
        <v>168</v>
      </c>
      <c r="V216">
        <v>40</v>
      </c>
      <c r="W216" t="s">
        <v>52</v>
      </c>
      <c r="X216">
        <v>812</v>
      </c>
      <c r="Y216" s="2">
        <v>32480</v>
      </c>
      <c r="Z216" t="s">
        <v>53</v>
      </c>
      <c r="AA216" s="3">
        <v>0.18</v>
      </c>
      <c r="AB216">
        <v>33051010</v>
      </c>
      <c r="AC216">
        <v>5850</v>
      </c>
      <c r="AD216" t="s">
        <v>217</v>
      </c>
      <c r="AE216" t="s">
        <v>126</v>
      </c>
      <c r="AF216" t="s">
        <v>56</v>
      </c>
      <c r="AG216" t="s">
        <v>218</v>
      </c>
    </row>
    <row r="217" spans="1:33" x14ac:dyDescent="0.3">
      <c r="A217" t="s">
        <v>733</v>
      </c>
      <c r="B217" t="s">
        <v>1188</v>
      </c>
      <c r="C217" s="1">
        <v>45315</v>
      </c>
      <c r="D217" s="1">
        <v>44542</v>
      </c>
      <c r="E217" t="s">
        <v>1189</v>
      </c>
      <c r="F217" t="s">
        <v>1190</v>
      </c>
      <c r="G217" t="s">
        <v>1191</v>
      </c>
      <c r="H217" t="s">
        <v>138</v>
      </c>
      <c r="I217" t="s">
        <v>63</v>
      </c>
      <c r="J217" t="s">
        <v>441</v>
      </c>
      <c r="K217" t="s">
        <v>41</v>
      </c>
      <c r="L217" t="s">
        <v>42</v>
      </c>
      <c r="M217" t="s">
        <v>267</v>
      </c>
      <c r="N217" t="s">
        <v>599</v>
      </c>
      <c r="O217" t="s">
        <v>620</v>
      </c>
      <c r="P217" t="s">
        <v>276</v>
      </c>
      <c r="Q217" t="s">
        <v>621</v>
      </c>
      <c r="R217" t="s">
        <v>122</v>
      </c>
      <c r="S217" t="s">
        <v>49</v>
      </c>
      <c r="T217" t="s">
        <v>197</v>
      </c>
      <c r="U217" t="s">
        <v>51</v>
      </c>
      <c r="V217">
        <v>20</v>
      </c>
      <c r="W217" t="s">
        <v>52</v>
      </c>
      <c r="X217">
        <v>955</v>
      </c>
      <c r="Y217" s="2">
        <v>19100</v>
      </c>
      <c r="Z217" t="s">
        <v>53</v>
      </c>
      <c r="AA217" s="3">
        <v>0.18</v>
      </c>
      <c r="AB217">
        <v>33059090</v>
      </c>
      <c r="AC217">
        <v>3440</v>
      </c>
      <c r="AD217" t="s">
        <v>108</v>
      </c>
      <c r="AE217" t="s">
        <v>209</v>
      </c>
      <c r="AF217" t="s">
        <v>56</v>
      </c>
      <c r="AG217" t="s">
        <v>158</v>
      </c>
    </row>
    <row r="218" spans="1:33" x14ac:dyDescent="0.3">
      <c r="A218" t="s">
        <v>733</v>
      </c>
      <c r="B218" t="s">
        <v>1192</v>
      </c>
      <c r="C218" s="1">
        <v>45317</v>
      </c>
      <c r="D218" s="1">
        <v>44543</v>
      </c>
      <c r="E218" t="s">
        <v>1193</v>
      </c>
      <c r="F218" t="s">
        <v>1194</v>
      </c>
      <c r="G218" t="s">
        <v>1195</v>
      </c>
      <c r="H218" t="s">
        <v>174</v>
      </c>
      <c r="I218" t="s">
        <v>39</v>
      </c>
      <c r="J218" t="s">
        <v>346</v>
      </c>
      <c r="K218" t="s">
        <v>65</v>
      </c>
      <c r="L218" t="s">
        <v>253</v>
      </c>
      <c r="M218" t="s">
        <v>235</v>
      </c>
      <c r="N218" t="s">
        <v>236</v>
      </c>
      <c r="O218" t="s">
        <v>543</v>
      </c>
      <c r="P218" t="s">
        <v>276</v>
      </c>
      <c r="Q218" t="s">
        <v>544</v>
      </c>
      <c r="R218" t="s">
        <v>122</v>
      </c>
      <c r="S218" t="s">
        <v>71</v>
      </c>
      <c r="T218" t="s">
        <v>50</v>
      </c>
      <c r="U218" t="s">
        <v>73</v>
      </c>
      <c r="V218">
        <v>10</v>
      </c>
      <c r="W218" t="s">
        <v>52</v>
      </c>
      <c r="X218" s="2">
        <v>1240</v>
      </c>
      <c r="Y218" s="2">
        <v>12400</v>
      </c>
      <c r="Z218" t="s">
        <v>53</v>
      </c>
      <c r="AA218" s="3">
        <v>0.18</v>
      </c>
      <c r="AB218">
        <v>33049930</v>
      </c>
      <c r="AC218">
        <v>2230</v>
      </c>
      <c r="AD218" t="s">
        <v>179</v>
      </c>
      <c r="AE218" t="s">
        <v>96</v>
      </c>
      <c r="AF218" t="s">
        <v>76</v>
      </c>
      <c r="AG218" t="s">
        <v>97</v>
      </c>
    </row>
    <row r="219" spans="1:33" x14ac:dyDescent="0.3">
      <c r="A219" t="s">
        <v>733</v>
      </c>
      <c r="B219" t="s">
        <v>1196</v>
      </c>
      <c r="C219" s="1">
        <v>45318</v>
      </c>
      <c r="D219" s="1">
        <v>44543</v>
      </c>
      <c r="E219" t="s">
        <v>1197</v>
      </c>
      <c r="F219" t="s">
        <v>569</v>
      </c>
      <c r="G219" t="s">
        <v>570</v>
      </c>
      <c r="H219" t="s">
        <v>38</v>
      </c>
      <c r="I219" t="s">
        <v>63</v>
      </c>
      <c r="J219" t="s">
        <v>571</v>
      </c>
      <c r="K219" t="s">
        <v>194</v>
      </c>
      <c r="L219" t="s">
        <v>117</v>
      </c>
      <c r="M219" t="s">
        <v>244</v>
      </c>
      <c r="N219" t="s">
        <v>572</v>
      </c>
      <c r="O219" t="s">
        <v>451</v>
      </c>
      <c r="P219" t="s">
        <v>276</v>
      </c>
      <c r="Q219" t="s">
        <v>452</v>
      </c>
      <c r="R219" t="s">
        <v>122</v>
      </c>
      <c r="S219" t="s">
        <v>123</v>
      </c>
      <c r="T219" t="s">
        <v>72</v>
      </c>
      <c r="U219" t="s">
        <v>144</v>
      </c>
      <c r="V219">
        <v>10</v>
      </c>
      <c r="W219" t="s">
        <v>52</v>
      </c>
      <c r="X219">
        <v>254</v>
      </c>
      <c r="Y219" s="2">
        <v>2540</v>
      </c>
      <c r="Z219" t="s">
        <v>53</v>
      </c>
      <c r="AA219" s="3">
        <v>0.18</v>
      </c>
      <c r="AB219">
        <v>33041000</v>
      </c>
      <c r="AC219">
        <v>460</v>
      </c>
      <c r="AD219" t="s">
        <v>189</v>
      </c>
      <c r="AE219" t="s">
        <v>55</v>
      </c>
      <c r="AF219" t="s">
        <v>56</v>
      </c>
      <c r="AG219" t="s">
        <v>361</v>
      </c>
    </row>
    <row r="220" spans="1:33" x14ac:dyDescent="0.3">
      <c r="A220" t="s">
        <v>733</v>
      </c>
      <c r="B220" t="s">
        <v>1198</v>
      </c>
      <c r="C220" s="1">
        <v>45315</v>
      </c>
      <c r="D220" s="1">
        <v>44543</v>
      </c>
      <c r="E220" t="s">
        <v>1199</v>
      </c>
      <c r="F220" t="s">
        <v>1200</v>
      </c>
      <c r="G220" t="s">
        <v>1201</v>
      </c>
      <c r="H220" t="s">
        <v>38</v>
      </c>
      <c r="I220" t="s">
        <v>39</v>
      </c>
      <c r="J220" t="s">
        <v>40</v>
      </c>
      <c r="K220" t="s">
        <v>41</v>
      </c>
      <c r="L220" t="s">
        <v>42</v>
      </c>
      <c r="M220" t="s">
        <v>90</v>
      </c>
      <c r="N220" t="s">
        <v>214</v>
      </c>
      <c r="O220" t="s">
        <v>329</v>
      </c>
      <c r="P220" t="s">
        <v>276</v>
      </c>
      <c r="Q220" t="s">
        <v>330</v>
      </c>
      <c r="R220" t="s">
        <v>48</v>
      </c>
      <c r="S220" t="s">
        <v>49</v>
      </c>
      <c r="T220" t="s">
        <v>178</v>
      </c>
      <c r="U220" t="s">
        <v>168</v>
      </c>
      <c r="V220">
        <v>1000</v>
      </c>
      <c r="W220" t="s">
        <v>52</v>
      </c>
      <c r="X220">
        <v>385</v>
      </c>
      <c r="Y220" s="2">
        <v>385000</v>
      </c>
      <c r="Z220" t="s">
        <v>53</v>
      </c>
      <c r="AA220" s="3">
        <v>0.18</v>
      </c>
      <c r="AB220">
        <v>33071010</v>
      </c>
      <c r="AC220">
        <v>69300</v>
      </c>
      <c r="AD220" t="s">
        <v>54</v>
      </c>
      <c r="AE220" t="s">
        <v>75</v>
      </c>
      <c r="AF220" t="s">
        <v>76</v>
      </c>
      <c r="AG220" t="s">
        <v>57</v>
      </c>
    </row>
    <row r="221" spans="1:33" x14ac:dyDescent="0.3">
      <c r="A221" t="s">
        <v>733</v>
      </c>
      <c r="B221" t="s">
        <v>1202</v>
      </c>
      <c r="C221" s="1">
        <v>45320</v>
      </c>
      <c r="D221" s="1">
        <v>44543</v>
      </c>
      <c r="E221" t="s">
        <v>1203</v>
      </c>
      <c r="F221" t="s">
        <v>577</v>
      </c>
      <c r="G221" t="s">
        <v>578</v>
      </c>
      <c r="H221" t="s">
        <v>62</v>
      </c>
      <c r="I221" t="s">
        <v>63</v>
      </c>
      <c r="J221" t="s">
        <v>64</v>
      </c>
      <c r="K221" t="s">
        <v>65</v>
      </c>
      <c r="L221" t="s">
        <v>253</v>
      </c>
      <c r="M221" t="s">
        <v>153</v>
      </c>
      <c r="N221" t="s">
        <v>154</v>
      </c>
      <c r="O221" t="s">
        <v>325</v>
      </c>
      <c r="P221" t="s">
        <v>276</v>
      </c>
      <c r="Q221" t="s">
        <v>326</v>
      </c>
      <c r="R221" t="s">
        <v>70</v>
      </c>
      <c r="S221" t="s">
        <v>71</v>
      </c>
      <c r="T221" t="s">
        <v>124</v>
      </c>
      <c r="U221" t="s">
        <v>51</v>
      </c>
      <c r="V221">
        <v>30</v>
      </c>
      <c r="W221" t="s">
        <v>52</v>
      </c>
      <c r="X221">
        <v>514</v>
      </c>
      <c r="Y221" s="2">
        <v>15420</v>
      </c>
      <c r="Z221" t="s">
        <v>53</v>
      </c>
      <c r="AA221" s="3">
        <v>0.18</v>
      </c>
      <c r="AB221">
        <v>33030050</v>
      </c>
      <c r="AC221">
        <v>2780</v>
      </c>
      <c r="AD221" t="s">
        <v>74</v>
      </c>
      <c r="AE221" t="s">
        <v>180</v>
      </c>
      <c r="AF221" t="s">
        <v>109</v>
      </c>
      <c r="AG221" t="s">
        <v>77</v>
      </c>
    </row>
    <row r="222" spans="1:33" x14ac:dyDescent="0.3">
      <c r="A222" t="s">
        <v>733</v>
      </c>
      <c r="B222" t="s">
        <v>1204</v>
      </c>
      <c r="C222" s="1">
        <v>45335</v>
      </c>
      <c r="D222" s="1">
        <v>44547</v>
      </c>
      <c r="E222" t="s">
        <v>1205</v>
      </c>
      <c r="F222" t="s">
        <v>583</v>
      </c>
      <c r="G222" t="s">
        <v>584</v>
      </c>
      <c r="H222" t="s">
        <v>38</v>
      </c>
      <c r="I222" t="s">
        <v>163</v>
      </c>
      <c r="J222" t="s">
        <v>358</v>
      </c>
      <c r="K222" t="s">
        <v>194</v>
      </c>
      <c r="L222" t="s">
        <v>117</v>
      </c>
      <c r="M222" t="s">
        <v>103</v>
      </c>
      <c r="N222" t="s">
        <v>254</v>
      </c>
      <c r="O222" t="s">
        <v>257</v>
      </c>
      <c r="P222" t="s">
        <v>247</v>
      </c>
      <c r="Q222" t="s">
        <v>258</v>
      </c>
      <c r="R222" t="s">
        <v>70</v>
      </c>
      <c r="S222" t="s">
        <v>123</v>
      </c>
      <c r="T222" t="s">
        <v>197</v>
      </c>
      <c r="U222" t="s">
        <v>73</v>
      </c>
      <c r="V222">
        <v>10</v>
      </c>
      <c r="W222" t="s">
        <v>52</v>
      </c>
      <c r="X222">
        <v>645</v>
      </c>
      <c r="Y222" s="2">
        <v>6450</v>
      </c>
      <c r="Z222" t="s">
        <v>53</v>
      </c>
      <c r="AA222" s="3">
        <v>0.18</v>
      </c>
      <c r="AB222">
        <v>33051010</v>
      </c>
      <c r="AC222">
        <v>1160</v>
      </c>
      <c r="AD222" t="s">
        <v>125</v>
      </c>
      <c r="AE222" t="s">
        <v>145</v>
      </c>
      <c r="AF222" t="s">
        <v>56</v>
      </c>
      <c r="AG222" t="s">
        <v>199</v>
      </c>
    </row>
    <row r="223" spans="1:33" x14ac:dyDescent="0.3">
      <c r="A223" t="s">
        <v>733</v>
      </c>
      <c r="B223" t="s">
        <v>1206</v>
      </c>
      <c r="C223" s="1">
        <v>45364</v>
      </c>
      <c r="D223" s="1">
        <v>44548</v>
      </c>
      <c r="E223" t="s">
        <v>1207</v>
      </c>
      <c r="F223" t="s">
        <v>587</v>
      </c>
      <c r="G223" t="s">
        <v>588</v>
      </c>
      <c r="H223" t="s">
        <v>62</v>
      </c>
      <c r="I223" t="s">
        <v>39</v>
      </c>
      <c r="J223" t="s">
        <v>151</v>
      </c>
      <c r="K223" t="s">
        <v>41</v>
      </c>
      <c r="L223" t="s">
        <v>42</v>
      </c>
      <c r="M223" t="s">
        <v>164</v>
      </c>
      <c r="N223" t="s">
        <v>589</v>
      </c>
      <c r="O223" t="s">
        <v>259</v>
      </c>
      <c r="P223" t="s">
        <v>247</v>
      </c>
      <c r="Q223" t="s">
        <v>260</v>
      </c>
      <c r="R223" t="s">
        <v>70</v>
      </c>
      <c r="S223" t="s">
        <v>49</v>
      </c>
      <c r="T223" t="s">
        <v>208</v>
      </c>
      <c r="U223" t="s">
        <v>51</v>
      </c>
      <c r="V223">
        <v>10</v>
      </c>
      <c r="W223" t="s">
        <v>52</v>
      </c>
      <c r="X223">
        <v>775</v>
      </c>
      <c r="Y223" s="2">
        <v>7750</v>
      </c>
      <c r="Z223" t="s">
        <v>53</v>
      </c>
      <c r="AA223" s="3">
        <v>0.18</v>
      </c>
      <c r="AB223">
        <v>33059090</v>
      </c>
      <c r="AC223">
        <v>1400</v>
      </c>
      <c r="AD223" t="s">
        <v>320</v>
      </c>
      <c r="AE223" t="s">
        <v>126</v>
      </c>
      <c r="AF223" t="s">
        <v>76</v>
      </c>
      <c r="AG223" t="s">
        <v>127</v>
      </c>
    </row>
    <row r="224" spans="1:33" x14ac:dyDescent="0.3">
      <c r="A224" t="s">
        <v>733</v>
      </c>
      <c r="B224" t="s">
        <v>1208</v>
      </c>
      <c r="C224" s="1">
        <v>45341</v>
      </c>
      <c r="D224" s="1">
        <v>44548</v>
      </c>
      <c r="E224" t="s">
        <v>1209</v>
      </c>
      <c r="F224" t="s">
        <v>592</v>
      </c>
      <c r="G224" t="s">
        <v>593</v>
      </c>
      <c r="H224" t="s">
        <v>138</v>
      </c>
      <c r="I224" t="s">
        <v>63</v>
      </c>
      <c r="J224" t="s">
        <v>474</v>
      </c>
      <c r="K224" t="s">
        <v>41</v>
      </c>
      <c r="L224" t="s">
        <v>253</v>
      </c>
      <c r="M224" t="s">
        <v>176</v>
      </c>
      <c r="N224" t="s">
        <v>594</v>
      </c>
      <c r="O224" t="s">
        <v>321</v>
      </c>
      <c r="P224" t="s">
        <v>247</v>
      </c>
      <c r="Q224" t="s">
        <v>322</v>
      </c>
      <c r="R224" t="s">
        <v>70</v>
      </c>
      <c r="S224" t="s">
        <v>71</v>
      </c>
      <c r="T224" t="s">
        <v>50</v>
      </c>
      <c r="U224" t="s">
        <v>51</v>
      </c>
      <c r="V224">
        <v>20</v>
      </c>
      <c r="W224" t="s">
        <v>52</v>
      </c>
      <c r="X224">
        <v>690</v>
      </c>
      <c r="Y224" s="2">
        <v>13800</v>
      </c>
      <c r="Z224" t="s">
        <v>53</v>
      </c>
      <c r="AA224" s="3">
        <v>0.18</v>
      </c>
      <c r="AB224">
        <v>33049930</v>
      </c>
      <c r="AC224">
        <v>2480</v>
      </c>
      <c r="AD224" t="s">
        <v>468</v>
      </c>
      <c r="AE224" t="s">
        <v>209</v>
      </c>
      <c r="AF224" t="s">
        <v>109</v>
      </c>
      <c r="AG224" t="s">
        <v>218</v>
      </c>
    </row>
    <row r="225" spans="1:33" x14ac:dyDescent="0.3">
      <c r="A225" t="s">
        <v>733</v>
      </c>
      <c r="B225" t="s">
        <v>1210</v>
      </c>
      <c r="C225" s="1">
        <v>45354</v>
      </c>
      <c r="D225" s="1">
        <v>44548</v>
      </c>
      <c r="E225" t="s">
        <v>1211</v>
      </c>
      <c r="F225" t="s">
        <v>1212</v>
      </c>
      <c r="G225" t="s">
        <v>1213</v>
      </c>
      <c r="H225" t="s">
        <v>38</v>
      </c>
      <c r="I225" t="s">
        <v>163</v>
      </c>
      <c r="J225" t="s">
        <v>139</v>
      </c>
      <c r="K225" t="s">
        <v>65</v>
      </c>
      <c r="L225" t="s">
        <v>117</v>
      </c>
      <c r="M225" t="s">
        <v>118</v>
      </c>
      <c r="N225" t="s">
        <v>1214</v>
      </c>
      <c r="O225" t="s">
        <v>323</v>
      </c>
      <c r="P225" t="s">
        <v>276</v>
      </c>
      <c r="Q225" t="s">
        <v>324</v>
      </c>
      <c r="R225" t="s">
        <v>70</v>
      </c>
      <c r="S225" t="s">
        <v>123</v>
      </c>
      <c r="T225" t="s">
        <v>50</v>
      </c>
      <c r="U225" t="s">
        <v>73</v>
      </c>
      <c r="V225">
        <v>10</v>
      </c>
      <c r="W225" t="s">
        <v>52</v>
      </c>
      <c r="X225">
        <v>375</v>
      </c>
      <c r="Y225" s="2">
        <v>3750</v>
      </c>
      <c r="Z225" t="s">
        <v>53</v>
      </c>
      <c r="AA225" s="3">
        <v>0.18</v>
      </c>
      <c r="AB225">
        <v>33041000</v>
      </c>
      <c r="AC225">
        <v>680</v>
      </c>
      <c r="AD225" t="s">
        <v>157</v>
      </c>
      <c r="AE225" t="s">
        <v>96</v>
      </c>
      <c r="AF225" t="s">
        <v>56</v>
      </c>
      <c r="AG225" t="s">
        <v>158</v>
      </c>
    </row>
    <row r="226" spans="1:33" x14ac:dyDescent="0.3">
      <c r="A226" t="s">
        <v>733</v>
      </c>
      <c r="B226" t="s">
        <v>1215</v>
      </c>
      <c r="C226" s="1">
        <v>45345</v>
      </c>
      <c r="D226" s="1">
        <v>44552</v>
      </c>
      <c r="E226" t="s">
        <v>1216</v>
      </c>
      <c r="F226" t="s">
        <v>1217</v>
      </c>
      <c r="G226" t="s">
        <v>1218</v>
      </c>
      <c r="H226" t="s">
        <v>38</v>
      </c>
      <c r="I226" t="s">
        <v>63</v>
      </c>
      <c r="J226" t="s">
        <v>186</v>
      </c>
      <c r="K226" t="s">
        <v>41</v>
      </c>
      <c r="L226" t="s">
        <v>253</v>
      </c>
      <c r="M226" t="s">
        <v>204</v>
      </c>
      <c r="N226" t="s">
        <v>205</v>
      </c>
      <c r="O226" t="s">
        <v>1044</v>
      </c>
      <c r="P226" t="s">
        <v>247</v>
      </c>
      <c r="Q226" t="s">
        <v>1045</v>
      </c>
      <c r="R226" t="s">
        <v>107</v>
      </c>
      <c r="S226" t="s">
        <v>71</v>
      </c>
      <c r="T226" t="s">
        <v>72</v>
      </c>
      <c r="U226" t="s">
        <v>73</v>
      </c>
      <c r="V226">
        <v>10</v>
      </c>
      <c r="W226" t="s">
        <v>52</v>
      </c>
      <c r="X226">
        <v>127</v>
      </c>
      <c r="Y226" s="2">
        <v>1270</v>
      </c>
      <c r="Z226" t="s">
        <v>53</v>
      </c>
      <c r="AA226" s="3">
        <v>0.18</v>
      </c>
      <c r="AB226">
        <v>33030050</v>
      </c>
      <c r="AC226">
        <v>230</v>
      </c>
      <c r="AD226" t="s">
        <v>217</v>
      </c>
      <c r="AE226" t="s">
        <v>75</v>
      </c>
      <c r="AF226" t="s">
        <v>109</v>
      </c>
      <c r="AG226" t="s">
        <v>361</v>
      </c>
    </row>
    <row r="227" spans="1:33" x14ac:dyDescent="0.3">
      <c r="A227" t="s">
        <v>733</v>
      </c>
      <c r="B227" t="s">
        <v>1219</v>
      </c>
      <c r="C227" s="1">
        <v>45345</v>
      </c>
      <c r="D227" s="1">
        <v>44552</v>
      </c>
      <c r="E227" t="s">
        <v>1220</v>
      </c>
      <c r="F227" t="s">
        <v>1221</v>
      </c>
      <c r="G227" t="s">
        <v>1222</v>
      </c>
      <c r="H227" t="s">
        <v>38</v>
      </c>
      <c r="I227" t="s">
        <v>63</v>
      </c>
      <c r="J227" t="s">
        <v>102</v>
      </c>
      <c r="K227" t="s">
        <v>41</v>
      </c>
      <c r="L227" t="s">
        <v>117</v>
      </c>
      <c r="M227" t="s">
        <v>684</v>
      </c>
      <c r="N227" t="s">
        <v>685</v>
      </c>
      <c r="O227" t="s">
        <v>246</v>
      </c>
      <c r="P227" t="s">
        <v>247</v>
      </c>
      <c r="Q227" t="s">
        <v>248</v>
      </c>
      <c r="R227" t="s">
        <v>107</v>
      </c>
      <c r="S227" t="s">
        <v>123</v>
      </c>
      <c r="T227" t="s">
        <v>178</v>
      </c>
      <c r="U227" t="s">
        <v>51</v>
      </c>
      <c r="V227">
        <v>10</v>
      </c>
      <c r="W227" t="s">
        <v>52</v>
      </c>
      <c r="X227" s="2">
        <v>1550</v>
      </c>
      <c r="Y227" s="2">
        <v>15500</v>
      </c>
      <c r="Z227" t="s">
        <v>53</v>
      </c>
      <c r="AA227" s="3">
        <v>0.18</v>
      </c>
      <c r="AB227">
        <v>33013091</v>
      </c>
      <c r="AC227">
        <v>2790</v>
      </c>
      <c r="AD227" t="s">
        <v>108</v>
      </c>
      <c r="AE227" t="s">
        <v>180</v>
      </c>
      <c r="AF227" t="s">
        <v>56</v>
      </c>
      <c r="AG227" t="s">
        <v>57</v>
      </c>
    </row>
    <row r="228" spans="1:33" x14ac:dyDescent="0.3">
      <c r="A228" t="s">
        <v>733</v>
      </c>
      <c r="B228" t="s">
        <v>1223</v>
      </c>
      <c r="C228" s="1">
        <v>45323</v>
      </c>
      <c r="D228" s="1">
        <v>44552</v>
      </c>
      <c r="E228" t="s">
        <v>1224</v>
      </c>
      <c r="F228" t="s">
        <v>1225</v>
      </c>
      <c r="G228" t="s">
        <v>1226</v>
      </c>
      <c r="H228" t="s">
        <v>38</v>
      </c>
      <c r="I228" t="s">
        <v>63</v>
      </c>
      <c r="J228" t="s">
        <v>234</v>
      </c>
      <c r="K228" t="s">
        <v>65</v>
      </c>
      <c r="L228" t="s">
        <v>187</v>
      </c>
      <c r="M228" t="s">
        <v>694</v>
      </c>
      <c r="N228" t="s">
        <v>695</v>
      </c>
      <c r="O228" t="s">
        <v>1227</v>
      </c>
      <c r="P228" t="s">
        <v>247</v>
      </c>
      <c r="Q228" t="s">
        <v>1228</v>
      </c>
      <c r="R228" t="s">
        <v>48</v>
      </c>
      <c r="S228" t="s">
        <v>188</v>
      </c>
      <c r="T228" t="s">
        <v>124</v>
      </c>
      <c r="U228" t="s">
        <v>73</v>
      </c>
      <c r="V228">
        <v>10</v>
      </c>
      <c r="W228" t="s">
        <v>52</v>
      </c>
      <c r="X228" s="2">
        <v>11875</v>
      </c>
      <c r="Y228" s="2">
        <v>118750</v>
      </c>
      <c r="Z228" t="s">
        <v>53</v>
      </c>
      <c r="AA228" s="3">
        <v>0.18</v>
      </c>
      <c r="AB228">
        <v>33012948</v>
      </c>
      <c r="AC228">
        <v>21380</v>
      </c>
      <c r="AD228" t="s">
        <v>179</v>
      </c>
      <c r="AE228" t="s">
        <v>145</v>
      </c>
      <c r="AF228" t="s">
        <v>76</v>
      </c>
      <c r="AG228" t="s">
        <v>77</v>
      </c>
    </row>
    <row r="229" spans="1:33" x14ac:dyDescent="0.3">
      <c r="A229" t="s">
        <v>733</v>
      </c>
      <c r="B229" t="s">
        <v>1229</v>
      </c>
      <c r="C229" s="1">
        <v>45326</v>
      </c>
      <c r="D229" s="1">
        <v>44555</v>
      </c>
      <c r="E229" t="s">
        <v>1230</v>
      </c>
      <c r="F229" t="s">
        <v>936</v>
      </c>
      <c r="G229" t="s">
        <v>937</v>
      </c>
      <c r="H229" t="s">
        <v>38</v>
      </c>
      <c r="I229" t="s">
        <v>63</v>
      </c>
      <c r="J229" t="s">
        <v>243</v>
      </c>
      <c r="K229" t="s">
        <v>41</v>
      </c>
      <c r="L229" t="s">
        <v>152</v>
      </c>
      <c r="M229" t="s">
        <v>694</v>
      </c>
      <c r="N229" t="s">
        <v>695</v>
      </c>
      <c r="O229" t="s">
        <v>482</v>
      </c>
      <c r="P229" t="s">
        <v>247</v>
      </c>
      <c r="Q229" t="s">
        <v>483</v>
      </c>
      <c r="R229" t="s">
        <v>48</v>
      </c>
      <c r="S229" t="s">
        <v>155</v>
      </c>
      <c r="T229" t="s">
        <v>197</v>
      </c>
      <c r="U229" t="s">
        <v>144</v>
      </c>
      <c r="V229">
        <v>10</v>
      </c>
      <c r="W229" t="s">
        <v>52</v>
      </c>
      <c r="X229" s="2">
        <v>2821</v>
      </c>
      <c r="Y229" s="2">
        <v>28210</v>
      </c>
      <c r="Z229" t="s">
        <v>53</v>
      </c>
      <c r="AA229" s="3">
        <v>0.18</v>
      </c>
      <c r="AB229">
        <v>33013091</v>
      </c>
      <c r="AC229">
        <v>5080</v>
      </c>
      <c r="AD229" t="s">
        <v>189</v>
      </c>
      <c r="AE229" t="s">
        <v>126</v>
      </c>
      <c r="AF229" t="s">
        <v>109</v>
      </c>
      <c r="AG229" t="s">
        <v>199</v>
      </c>
    </row>
    <row r="230" spans="1:33" x14ac:dyDescent="0.3">
      <c r="A230" t="s">
        <v>733</v>
      </c>
      <c r="B230" t="s">
        <v>1231</v>
      </c>
      <c r="C230" s="1">
        <v>45327</v>
      </c>
      <c r="D230" s="1">
        <v>44556</v>
      </c>
      <c r="E230" t="s">
        <v>1232</v>
      </c>
      <c r="F230" t="s">
        <v>1233</v>
      </c>
      <c r="G230" t="s">
        <v>1234</v>
      </c>
      <c r="H230" t="s">
        <v>38</v>
      </c>
      <c r="I230" t="s">
        <v>163</v>
      </c>
      <c r="J230" t="s">
        <v>116</v>
      </c>
      <c r="K230" t="s">
        <v>65</v>
      </c>
      <c r="L230" t="s">
        <v>42</v>
      </c>
      <c r="M230" t="s">
        <v>43</v>
      </c>
      <c r="N230" t="s">
        <v>44</v>
      </c>
      <c r="O230" t="s">
        <v>312</v>
      </c>
      <c r="P230" t="s">
        <v>247</v>
      </c>
      <c r="Q230" t="s">
        <v>313</v>
      </c>
      <c r="R230" t="s">
        <v>48</v>
      </c>
      <c r="S230" t="s">
        <v>49</v>
      </c>
      <c r="T230" t="s">
        <v>50</v>
      </c>
      <c r="U230" t="s">
        <v>168</v>
      </c>
      <c r="V230">
        <v>10</v>
      </c>
      <c r="W230" t="s">
        <v>52</v>
      </c>
      <c r="X230" s="2">
        <v>2403</v>
      </c>
      <c r="Y230" s="2">
        <v>24030</v>
      </c>
      <c r="Z230" t="s">
        <v>53</v>
      </c>
      <c r="AA230" s="3">
        <v>0.18</v>
      </c>
      <c r="AB230">
        <v>33012948</v>
      </c>
      <c r="AC230">
        <v>4330</v>
      </c>
      <c r="AD230" t="s">
        <v>157</v>
      </c>
      <c r="AE230" t="s">
        <v>180</v>
      </c>
      <c r="AF230" t="s">
        <v>56</v>
      </c>
      <c r="AG230" t="s">
        <v>127</v>
      </c>
    </row>
    <row r="231" spans="1:33" x14ac:dyDescent="0.3">
      <c r="A231" t="s">
        <v>733</v>
      </c>
      <c r="B231" t="s">
        <v>1235</v>
      </c>
      <c r="C231" s="1">
        <v>45327</v>
      </c>
      <c r="D231" s="1">
        <v>44556</v>
      </c>
      <c r="E231" t="s">
        <v>1236</v>
      </c>
      <c r="F231" t="s">
        <v>1237</v>
      </c>
      <c r="G231" t="s">
        <v>1238</v>
      </c>
      <c r="H231" t="s">
        <v>38</v>
      </c>
      <c r="I231" t="s">
        <v>175</v>
      </c>
      <c r="J231" t="s">
        <v>441</v>
      </c>
      <c r="K231" t="s">
        <v>194</v>
      </c>
      <c r="L231" t="s">
        <v>253</v>
      </c>
      <c r="M231" t="s">
        <v>66</v>
      </c>
      <c r="N231" t="s">
        <v>974</v>
      </c>
      <c r="O231" t="s">
        <v>303</v>
      </c>
      <c r="P231" t="s">
        <v>247</v>
      </c>
      <c r="Q231" t="s">
        <v>304</v>
      </c>
      <c r="R231" t="s">
        <v>70</v>
      </c>
      <c r="S231" t="s">
        <v>71</v>
      </c>
      <c r="T231" t="s">
        <v>72</v>
      </c>
      <c r="U231" t="s">
        <v>51</v>
      </c>
      <c r="V231">
        <v>10</v>
      </c>
      <c r="W231" t="s">
        <v>52</v>
      </c>
      <c r="X231" s="2">
        <v>1550</v>
      </c>
      <c r="Y231" s="2">
        <v>15500</v>
      </c>
      <c r="Z231" t="s">
        <v>53</v>
      </c>
      <c r="AA231" s="3">
        <v>0.18</v>
      </c>
      <c r="AB231">
        <v>33051010</v>
      </c>
      <c r="AC231">
        <v>2790</v>
      </c>
      <c r="AD231" t="s">
        <v>95</v>
      </c>
      <c r="AE231" t="s">
        <v>145</v>
      </c>
      <c r="AF231" t="s">
        <v>76</v>
      </c>
      <c r="AG231" t="s">
        <v>218</v>
      </c>
    </row>
    <row r="232" spans="1:33" x14ac:dyDescent="0.3">
      <c r="A232" t="s">
        <v>733</v>
      </c>
      <c r="B232" t="s">
        <v>1239</v>
      </c>
      <c r="C232" s="1">
        <v>45322</v>
      </c>
      <c r="D232" s="1">
        <v>44556</v>
      </c>
      <c r="E232" t="s">
        <v>1240</v>
      </c>
      <c r="F232" t="s">
        <v>1241</v>
      </c>
      <c r="G232" t="s">
        <v>1242</v>
      </c>
      <c r="H232" t="s">
        <v>38</v>
      </c>
      <c r="I232" t="s">
        <v>185</v>
      </c>
      <c r="J232" t="s">
        <v>346</v>
      </c>
      <c r="K232" t="s">
        <v>41</v>
      </c>
      <c r="L232" t="s">
        <v>117</v>
      </c>
      <c r="M232" t="s">
        <v>140</v>
      </c>
      <c r="N232" t="s">
        <v>141</v>
      </c>
      <c r="O232" t="s">
        <v>310</v>
      </c>
      <c r="P232" t="s">
        <v>247</v>
      </c>
      <c r="Q232" t="s">
        <v>311</v>
      </c>
      <c r="R232" t="s">
        <v>70</v>
      </c>
      <c r="S232" t="s">
        <v>123</v>
      </c>
      <c r="T232" t="s">
        <v>178</v>
      </c>
      <c r="U232" t="s">
        <v>73</v>
      </c>
      <c r="V232">
        <v>10</v>
      </c>
      <c r="W232" t="s">
        <v>52</v>
      </c>
      <c r="X232" s="2">
        <v>4000</v>
      </c>
      <c r="Y232" s="2">
        <v>40000</v>
      </c>
      <c r="Z232" t="s">
        <v>53</v>
      </c>
      <c r="AA232" s="3">
        <v>0.18</v>
      </c>
      <c r="AB232">
        <v>33059090</v>
      </c>
      <c r="AC232">
        <v>7200</v>
      </c>
      <c r="AD232" t="s">
        <v>217</v>
      </c>
      <c r="AE232" t="s">
        <v>126</v>
      </c>
      <c r="AF232" t="s">
        <v>109</v>
      </c>
      <c r="AG232" t="s">
        <v>158</v>
      </c>
    </row>
    <row r="233" spans="1:33" x14ac:dyDescent="0.3">
      <c r="A233" t="s">
        <v>733</v>
      </c>
      <c r="B233" t="s">
        <v>1243</v>
      </c>
      <c r="C233" s="1">
        <v>45325</v>
      </c>
      <c r="D233" s="1">
        <v>44559</v>
      </c>
      <c r="E233" t="s">
        <v>1244</v>
      </c>
      <c r="F233" t="s">
        <v>597</v>
      </c>
      <c r="G233" t="s">
        <v>598</v>
      </c>
      <c r="H233" t="s">
        <v>38</v>
      </c>
      <c r="I233" t="s">
        <v>39</v>
      </c>
      <c r="J233" t="s">
        <v>571</v>
      </c>
      <c r="K233" t="s">
        <v>65</v>
      </c>
      <c r="L233" t="s">
        <v>187</v>
      </c>
      <c r="M233" t="s">
        <v>267</v>
      </c>
      <c r="N233" t="s">
        <v>599</v>
      </c>
      <c r="O233" t="s">
        <v>337</v>
      </c>
      <c r="P233" t="s">
        <v>338</v>
      </c>
      <c r="Q233" t="s">
        <v>339</v>
      </c>
      <c r="R233" t="s">
        <v>70</v>
      </c>
      <c r="S233" t="s">
        <v>188</v>
      </c>
      <c r="T233" t="s">
        <v>124</v>
      </c>
      <c r="U233" t="s">
        <v>144</v>
      </c>
      <c r="V233">
        <v>10</v>
      </c>
      <c r="W233" t="s">
        <v>52</v>
      </c>
      <c r="X233" s="2">
        <v>4000</v>
      </c>
      <c r="Y233" s="2">
        <v>40000</v>
      </c>
      <c r="Z233" t="s">
        <v>53</v>
      </c>
      <c r="AA233" s="3">
        <v>0.18</v>
      </c>
      <c r="AB233">
        <v>33049930</v>
      </c>
      <c r="AC233">
        <v>7200</v>
      </c>
      <c r="AD233" t="s">
        <v>108</v>
      </c>
      <c r="AE233" t="s">
        <v>209</v>
      </c>
      <c r="AF233" t="s">
        <v>56</v>
      </c>
      <c r="AG233" t="s">
        <v>97</v>
      </c>
    </row>
    <row r="234" spans="1:33" x14ac:dyDescent="0.3">
      <c r="A234" t="s">
        <v>733</v>
      </c>
      <c r="B234" t="s">
        <v>1245</v>
      </c>
      <c r="C234" s="1">
        <v>45328</v>
      </c>
      <c r="D234" s="1">
        <v>44562</v>
      </c>
      <c r="E234" t="s">
        <v>1246</v>
      </c>
      <c r="F234" t="s">
        <v>1247</v>
      </c>
      <c r="G234" t="s">
        <v>1248</v>
      </c>
      <c r="H234" t="s">
        <v>38</v>
      </c>
      <c r="I234" t="s">
        <v>39</v>
      </c>
      <c r="J234" t="s">
        <v>64</v>
      </c>
      <c r="K234" t="s">
        <v>194</v>
      </c>
      <c r="L234" t="s">
        <v>187</v>
      </c>
      <c r="M234" t="s">
        <v>797</v>
      </c>
      <c r="N234" t="s">
        <v>798</v>
      </c>
      <c r="O234" t="s">
        <v>269</v>
      </c>
      <c r="P234" t="s">
        <v>247</v>
      </c>
      <c r="Q234" t="s">
        <v>270</v>
      </c>
      <c r="R234" t="s">
        <v>107</v>
      </c>
      <c r="S234" t="s">
        <v>188</v>
      </c>
      <c r="T234" t="s">
        <v>72</v>
      </c>
      <c r="U234" t="s">
        <v>51</v>
      </c>
      <c r="V234">
        <v>10</v>
      </c>
      <c r="W234" t="s">
        <v>52</v>
      </c>
      <c r="X234">
        <v>400</v>
      </c>
      <c r="Y234" s="2">
        <v>4000</v>
      </c>
      <c r="Z234" t="s">
        <v>53</v>
      </c>
      <c r="AA234" s="3">
        <v>0.18</v>
      </c>
      <c r="AB234">
        <v>33051010</v>
      </c>
      <c r="AC234">
        <v>720</v>
      </c>
      <c r="AD234" t="s">
        <v>95</v>
      </c>
      <c r="AE234" t="s">
        <v>145</v>
      </c>
      <c r="AF234" t="s">
        <v>109</v>
      </c>
      <c r="AG234" t="s">
        <v>199</v>
      </c>
    </row>
    <row r="235" spans="1:33" x14ac:dyDescent="0.3">
      <c r="A235" t="s">
        <v>733</v>
      </c>
      <c r="B235" t="s">
        <v>1249</v>
      </c>
      <c r="C235" s="1">
        <v>45328</v>
      </c>
      <c r="D235" s="1">
        <v>44562</v>
      </c>
      <c r="E235" t="s">
        <v>1250</v>
      </c>
      <c r="F235" t="s">
        <v>1251</v>
      </c>
      <c r="G235" t="s">
        <v>1252</v>
      </c>
      <c r="H235" t="s">
        <v>62</v>
      </c>
      <c r="I235" t="s">
        <v>63</v>
      </c>
      <c r="J235" t="s">
        <v>358</v>
      </c>
      <c r="K235" t="s">
        <v>41</v>
      </c>
      <c r="L235" t="s">
        <v>152</v>
      </c>
      <c r="M235" t="s">
        <v>797</v>
      </c>
      <c r="N235" t="s">
        <v>929</v>
      </c>
      <c r="O235" t="s">
        <v>553</v>
      </c>
      <c r="P235" t="s">
        <v>247</v>
      </c>
      <c r="Q235" t="s">
        <v>554</v>
      </c>
      <c r="R235" t="s">
        <v>107</v>
      </c>
      <c r="S235" t="s">
        <v>155</v>
      </c>
      <c r="T235" t="s">
        <v>178</v>
      </c>
      <c r="U235" t="s">
        <v>73</v>
      </c>
      <c r="V235">
        <v>10</v>
      </c>
      <c r="W235" t="s">
        <v>1253</v>
      </c>
      <c r="X235">
        <v>400</v>
      </c>
      <c r="Y235" s="2">
        <v>4000</v>
      </c>
      <c r="Z235" t="s">
        <v>53</v>
      </c>
      <c r="AA235" s="3">
        <v>0.18</v>
      </c>
      <c r="AB235">
        <v>33059090</v>
      </c>
      <c r="AC235">
        <v>720</v>
      </c>
      <c r="AD235" t="s">
        <v>217</v>
      </c>
      <c r="AE235" t="s">
        <v>126</v>
      </c>
      <c r="AF235" t="s">
        <v>109</v>
      </c>
      <c r="AG235" t="s">
        <v>127</v>
      </c>
    </row>
    <row r="236" spans="1:33" x14ac:dyDescent="0.3">
      <c r="A236" t="s">
        <v>733</v>
      </c>
      <c r="B236" t="s">
        <v>1254</v>
      </c>
      <c r="C236" s="1">
        <v>45331</v>
      </c>
      <c r="D236" s="1">
        <v>44565</v>
      </c>
      <c r="E236" t="s">
        <v>1255</v>
      </c>
      <c r="F236" t="s">
        <v>719</v>
      </c>
      <c r="G236" t="s">
        <v>720</v>
      </c>
      <c r="H236" t="s">
        <v>138</v>
      </c>
      <c r="I236" t="s">
        <v>163</v>
      </c>
      <c r="J236" t="s">
        <v>151</v>
      </c>
      <c r="K236" t="s">
        <v>41</v>
      </c>
      <c r="L236" t="s">
        <v>42</v>
      </c>
      <c r="M236" t="s">
        <v>153</v>
      </c>
      <c r="N236" t="s">
        <v>663</v>
      </c>
      <c r="O236" t="s">
        <v>364</v>
      </c>
      <c r="P236" t="s">
        <v>338</v>
      </c>
      <c r="Q236" t="s">
        <v>365</v>
      </c>
      <c r="R236" t="s">
        <v>48</v>
      </c>
      <c r="S236" t="s">
        <v>49</v>
      </c>
      <c r="T236" t="s">
        <v>124</v>
      </c>
      <c r="U236" t="s">
        <v>51</v>
      </c>
      <c r="V236">
        <v>10</v>
      </c>
      <c r="W236" t="s">
        <v>52</v>
      </c>
      <c r="X236">
        <v>400</v>
      </c>
      <c r="Y236" s="2">
        <v>4000</v>
      </c>
      <c r="Z236" t="s">
        <v>53</v>
      </c>
      <c r="AA236" s="3">
        <v>0.18</v>
      </c>
      <c r="AB236">
        <v>33049930</v>
      </c>
      <c r="AC236">
        <v>720</v>
      </c>
      <c r="AD236" t="s">
        <v>108</v>
      </c>
      <c r="AE236" t="s">
        <v>209</v>
      </c>
      <c r="AF236" t="s">
        <v>109</v>
      </c>
      <c r="AG236" t="s">
        <v>57</v>
      </c>
    </row>
    <row r="237" spans="1:33" x14ac:dyDescent="0.3">
      <c r="A237" t="s">
        <v>733</v>
      </c>
      <c r="B237" t="s">
        <v>1256</v>
      </c>
      <c r="C237" s="1">
        <v>45332</v>
      </c>
      <c r="D237" s="1">
        <v>44566</v>
      </c>
      <c r="E237" t="s">
        <v>1257</v>
      </c>
      <c r="F237" t="s">
        <v>723</v>
      </c>
      <c r="G237" t="s">
        <v>724</v>
      </c>
      <c r="H237" t="s">
        <v>174</v>
      </c>
      <c r="I237" t="s">
        <v>175</v>
      </c>
      <c r="J237" t="s">
        <v>474</v>
      </c>
      <c r="K237" t="s">
        <v>65</v>
      </c>
      <c r="L237" t="s">
        <v>253</v>
      </c>
      <c r="M237" t="s">
        <v>153</v>
      </c>
      <c r="N237" t="s">
        <v>154</v>
      </c>
      <c r="O237" t="s">
        <v>555</v>
      </c>
      <c r="P237" t="s">
        <v>247</v>
      </c>
      <c r="Q237" t="s">
        <v>556</v>
      </c>
      <c r="R237" t="s">
        <v>48</v>
      </c>
      <c r="S237" t="s">
        <v>71</v>
      </c>
      <c r="T237" t="s">
        <v>197</v>
      </c>
      <c r="U237" t="s">
        <v>73</v>
      </c>
      <c r="V237">
        <v>10</v>
      </c>
      <c r="W237" t="s">
        <v>52</v>
      </c>
      <c r="X237">
        <v>400</v>
      </c>
      <c r="Y237" s="2">
        <v>4000</v>
      </c>
      <c r="Z237" t="s">
        <v>53</v>
      </c>
      <c r="AA237" s="3">
        <v>0.18</v>
      </c>
      <c r="AB237">
        <v>33041000</v>
      </c>
      <c r="AC237">
        <v>720</v>
      </c>
      <c r="AD237" t="s">
        <v>179</v>
      </c>
      <c r="AE237" t="s">
        <v>96</v>
      </c>
      <c r="AF237" t="s">
        <v>109</v>
      </c>
      <c r="AG237" t="s">
        <v>77</v>
      </c>
    </row>
    <row r="238" spans="1:33" x14ac:dyDescent="0.3">
      <c r="A238" t="s">
        <v>733</v>
      </c>
      <c r="B238" t="s">
        <v>1258</v>
      </c>
      <c r="C238" s="1">
        <v>45333</v>
      </c>
      <c r="D238" s="1">
        <v>44567</v>
      </c>
      <c r="E238" t="s">
        <v>1259</v>
      </c>
      <c r="F238" t="s">
        <v>727</v>
      </c>
      <c r="G238" t="s">
        <v>728</v>
      </c>
      <c r="H238" t="s">
        <v>150</v>
      </c>
      <c r="I238" t="s">
        <v>185</v>
      </c>
      <c r="J238" t="s">
        <v>139</v>
      </c>
      <c r="K238" t="s">
        <v>41</v>
      </c>
      <c r="L238" t="s">
        <v>117</v>
      </c>
      <c r="M238" t="s">
        <v>153</v>
      </c>
      <c r="N238" t="s">
        <v>154</v>
      </c>
      <c r="O238" t="s">
        <v>362</v>
      </c>
      <c r="P238" t="s">
        <v>338</v>
      </c>
      <c r="Q238" t="s">
        <v>363</v>
      </c>
      <c r="R238" t="s">
        <v>122</v>
      </c>
      <c r="S238" t="s">
        <v>123</v>
      </c>
      <c r="T238" t="s">
        <v>50</v>
      </c>
      <c r="U238" t="s">
        <v>51</v>
      </c>
      <c r="V238">
        <v>10</v>
      </c>
      <c r="W238" t="s">
        <v>52</v>
      </c>
      <c r="X238" s="2">
        <v>1050</v>
      </c>
      <c r="Y238" s="2">
        <v>10500</v>
      </c>
      <c r="Z238" t="s">
        <v>53</v>
      </c>
      <c r="AA238" s="3">
        <v>0.18</v>
      </c>
      <c r="AB238">
        <v>33071010</v>
      </c>
      <c r="AC238">
        <v>1890</v>
      </c>
      <c r="AD238" t="s">
        <v>189</v>
      </c>
      <c r="AE238" t="s">
        <v>55</v>
      </c>
      <c r="AF238" t="s">
        <v>76</v>
      </c>
      <c r="AG238" t="s">
        <v>199</v>
      </c>
    </row>
    <row r="239" spans="1:33" x14ac:dyDescent="0.3">
      <c r="A239" t="s">
        <v>733</v>
      </c>
      <c r="B239" t="s">
        <v>1260</v>
      </c>
      <c r="C239" s="1">
        <v>45323</v>
      </c>
      <c r="D239" s="1">
        <v>44568</v>
      </c>
      <c r="E239" t="s">
        <v>1261</v>
      </c>
      <c r="F239" t="s">
        <v>731</v>
      </c>
      <c r="G239" t="s">
        <v>732</v>
      </c>
      <c r="H239" t="s">
        <v>38</v>
      </c>
      <c r="I239" t="s">
        <v>185</v>
      </c>
      <c r="J239" t="s">
        <v>89</v>
      </c>
      <c r="K239" t="s">
        <v>41</v>
      </c>
      <c r="L239" t="s">
        <v>187</v>
      </c>
      <c r="M239" t="s">
        <v>153</v>
      </c>
      <c r="N239" t="s">
        <v>154</v>
      </c>
      <c r="O239" t="s">
        <v>359</v>
      </c>
      <c r="P239" t="s">
        <v>338</v>
      </c>
      <c r="Q239" t="s">
        <v>360</v>
      </c>
      <c r="R239" t="s">
        <v>122</v>
      </c>
      <c r="S239" t="s">
        <v>188</v>
      </c>
      <c r="T239" t="s">
        <v>72</v>
      </c>
      <c r="U239" t="s">
        <v>73</v>
      </c>
      <c r="V239">
        <v>10</v>
      </c>
      <c r="W239" t="s">
        <v>156</v>
      </c>
      <c r="X239" s="2">
        <v>42500</v>
      </c>
      <c r="Y239" s="2">
        <v>425000</v>
      </c>
      <c r="Z239" t="s">
        <v>53</v>
      </c>
      <c r="AA239" s="3">
        <v>0.18</v>
      </c>
      <c r="AB239">
        <v>33030050</v>
      </c>
      <c r="AC239">
        <v>76500</v>
      </c>
      <c r="AD239" t="s">
        <v>54</v>
      </c>
      <c r="AE239" t="s">
        <v>75</v>
      </c>
      <c r="AF239" t="s">
        <v>76</v>
      </c>
      <c r="AG239" t="s">
        <v>127</v>
      </c>
    </row>
    <row r="240" spans="1:33" x14ac:dyDescent="0.3">
      <c r="A240" t="s">
        <v>733</v>
      </c>
      <c r="B240" t="s">
        <v>1262</v>
      </c>
      <c r="C240" s="1">
        <v>45330</v>
      </c>
      <c r="D240" s="1">
        <v>44570</v>
      </c>
      <c r="E240" t="s">
        <v>1263</v>
      </c>
      <c r="F240" t="s">
        <v>940</v>
      </c>
      <c r="G240" t="s">
        <v>941</v>
      </c>
      <c r="H240" t="s">
        <v>138</v>
      </c>
      <c r="I240" t="s">
        <v>163</v>
      </c>
      <c r="J240" t="s">
        <v>102</v>
      </c>
      <c r="K240" t="s">
        <v>65</v>
      </c>
      <c r="L240" t="s">
        <v>253</v>
      </c>
      <c r="M240" t="s">
        <v>153</v>
      </c>
      <c r="N240" t="s">
        <v>154</v>
      </c>
      <c r="O240" t="s">
        <v>557</v>
      </c>
      <c r="P240" t="s">
        <v>247</v>
      </c>
      <c r="Q240" t="s">
        <v>558</v>
      </c>
      <c r="R240" t="s">
        <v>48</v>
      </c>
      <c r="S240" t="s">
        <v>71</v>
      </c>
      <c r="T240" t="s">
        <v>50</v>
      </c>
      <c r="U240" t="s">
        <v>168</v>
      </c>
      <c r="V240">
        <v>10</v>
      </c>
      <c r="W240" t="s">
        <v>52</v>
      </c>
      <c r="X240">
        <v>131</v>
      </c>
      <c r="Y240" s="2">
        <v>1310</v>
      </c>
      <c r="Z240" t="s">
        <v>53</v>
      </c>
      <c r="AA240" s="3">
        <v>0.18</v>
      </c>
      <c r="AB240">
        <v>33012948</v>
      </c>
      <c r="AC240">
        <v>240</v>
      </c>
      <c r="AD240" t="s">
        <v>125</v>
      </c>
      <c r="AE240" t="s">
        <v>145</v>
      </c>
      <c r="AF240" t="s">
        <v>76</v>
      </c>
      <c r="AG240" t="s">
        <v>158</v>
      </c>
    </row>
    <row r="241" spans="1:33" x14ac:dyDescent="0.3">
      <c r="A241" t="s">
        <v>733</v>
      </c>
      <c r="B241" t="s">
        <v>1264</v>
      </c>
      <c r="C241" s="1">
        <v>45331</v>
      </c>
      <c r="D241" s="1">
        <v>44571</v>
      </c>
      <c r="E241" t="s">
        <v>1265</v>
      </c>
      <c r="F241" t="s">
        <v>944</v>
      </c>
      <c r="G241" t="s">
        <v>945</v>
      </c>
      <c r="H241" t="s">
        <v>174</v>
      </c>
      <c r="I241" t="s">
        <v>163</v>
      </c>
      <c r="J241" t="s">
        <v>234</v>
      </c>
      <c r="K241" t="s">
        <v>41</v>
      </c>
      <c r="L241" t="s">
        <v>117</v>
      </c>
      <c r="M241" t="s">
        <v>153</v>
      </c>
      <c r="N241" t="s">
        <v>154</v>
      </c>
      <c r="O241" t="s">
        <v>352</v>
      </c>
      <c r="P241" t="s">
        <v>338</v>
      </c>
      <c r="Q241" t="s">
        <v>353</v>
      </c>
      <c r="R241" t="s">
        <v>70</v>
      </c>
      <c r="S241" t="s">
        <v>123</v>
      </c>
      <c r="T241" t="s">
        <v>72</v>
      </c>
      <c r="U241" t="s">
        <v>51</v>
      </c>
      <c r="V241">
        <v>40</v>
      </c>
      <c r="W241" t="s">
        <v>52</v>
      </c>
      <c r="X241">
        <v>450</v>
      </c>
      <c r="Y241" s="2">
        <v>18000</v>
      </c>
      <c r="Z241" t="s">
        <v>53</v>
      </c>
      <c r="AA241" s="3">
        <v>0.18</v>
      </c>
      <c r="AB241">
        <v>33013091</v>
      </c>
      <c r="AC241">
        <v>3240</v>
      </c>
      <c r="AD241" t="s">
        <v>320</v>
      </c>
      <c r="AE241" t="s">
        <v>126</v>
      </c>
      <c r="AF241" t="s">
        <v>56</v>
      </c>
      <c r="AG241" t="s">
        <v>97</v>
      </c>
    </row>
    <row r="242" spans="1:33" x14ac:dyDescent="0.3">
      <c r="A242" t="s">
        <v>733</v>
      </c>
      <c r="B242" t="s">
        <v>1266</v>
      </c>
      <c r="C242" s="1">
        <v>45326</v>
      </c>
      <c r="D242" s="1">
        <v>44571</v>
      </c>
      <c r="E242" t="s">
        <v>1267</v>
      </c>
      <c r="F242" t="s">
        <v>952</v>
      </c>
      <c r="G242" t="s">
        <v>953</v>
      </c>
      <c r="H242" t="s">
        <v>38</v>
      </c>
      <c r="I242" t="s">
        <v>163</v>
      </c>
      <c r="J242" t="s">
        <v>64</v>
      </c>
      <c r="K242" t="s">
        <v>194</v>
      </c>
      <c r="L242" t="s">
        <v>253</v>
      </c>
      <c r="M242" t="s">
        <v>153</v>
      </c>
      <c r="N242" t="s">
        <v>154</v>
      </c>
      <c r="O242" t="s">
        <v>221</v>
      </c>
      <c r="P242" t="s">
        <v>46</v>
      </c>
      <c r="Q242" t="s">
        <v>222</v>
      </c>
      <c r="R242" t="s">
        <v>70</v>
      </c>
      <c r="S242" t="s">
        <v>71</v>
      </c>
      <c r="T242" t="s">
        <v>124</v>
      </c>
      <c r="U242" t="s">
        <v>144</v>
      </c>
      <c r="V242">
        <v>10</v>
      </c>
      <c r="W242" t="s">
        <v>52</v>
      </c>
      <c r="X242">
        <v>370</v>
      </c>
      <c r="Y242" s="2">
        <v>3700</v>
      </c>
      <c r="Z242" t="s">
        <v>53</v>
      </c>
      <c r="AA242" s="3">
        <v>0.18</v>
      </c>
      <c r="AB242">
        <v>33051010</v>
      </c>
      <c r="AC242">
        <v>670</v>
      </c>
      <c r="AD242" t="s">
        <v>157</v>
      </c>
      <c r="AE242" t="s">
        <v>145</v>
      </c>
      <c r="AF242" t="s">
        <v>56</v>
      </c>
      <c r="AG242" t="s">
        <v>57</v>
      </c>
    </row>
    <row r="243" spans="1:33" x14ac:dyDescent="0.3">
      <c r="A243" t="s">
        <v>733</v>
      </c>
      <c r="B243" t="s">
        <v>1268</v>
      </c>
      <c r="C243" s="1">
        <v>45330</v>
      </c>
      <c r="D243" s="1">
        <v>44575</v>
      </c>
      <c r="E243" t="s">
        <v>1269</v>
      </c>
      <c r="F243" t="s">
        <v>960</v>
      </c>
      <c r="G243" t="s">
        <v>961</v>
      </c>
      <c r="H243" t="s">
        <v>138</v>
      </c>
      <c r="I243" t="s">
        <v>63</v>
      </c>
      <c r="J243" t="s">
        <v>151</v>
      </c>
      <c r="K243" t="s">
        <v>65</v>
      </c>
      <c r="L243" t="s">
        <v>187</v>
      </c>
      <c r="M243" t="s">
        <v>244</v>
      </c>
      <c r="N243" t="s">
        <v>572</v>
      </c>
      <c r="O243" t="s">
        <v>517</v>
      </c>
      <c r="P243" t="s">
        <v>46</v>
      </c>
      <c r="Q243" t="s">
        <v>518</v>
      </c>
      <c r="R243" t="s">
        <v>48</v>
      </c>
      <c r="S243" t="s">
        <v>188</v>
      </c>
      <c r="T243" t="s">
        <v>208</v>
      </c>
      <c r="U243" t="s">
        <v>51</v>
      </c>
      <c r="V243">
        <v>10</v>
      </c>
      <c r="W243" t="s">
        <v>52</v>
      </c>
      <c r="X243" s="2">
        <v>3050</v>
      </c>
      <c r="Y243" s="2">
        <v>30500</v>
      </c>
      <c r="Z243" t="s">
        <v>53</v>
      </c>
      <c r="AA243" s="3">
        <v>0.18</v>
      </c>
      <c r="AB243">
        <v>33049930</v>
      </c>
      <c r="AC243">
        <v>5490</v>
      </c>
      <c r="AD243" t="s">
        <v>217</v>
      </c>
      <c r="AE243" t="s">
        <v>209</v>
      </c>
      <c r="AF243" t="s">
        <v>76</v>
      </c>
      <c r="AG243" t="s">
        <v>199</v>
      </c>
    </row>
    <row r="244" spans="1:33" x14ac:dyDescent="0.3">
      <c r="A244" t="s">
        <v>733</v>
      </c>
      <c r="B244" t="s">
        <v>1270</v>
      </c>
      <c r="C244" s="1">
        <v>45331</v>
      </c>
      <c r="D244" s="1">
        <v>44576</v>
      </c>
      <c r="E244" t="s">
        <v>1271</v>
      </c>
      <c r="F244" t="s">
        <v>964</v>
      </c>
      <c r="G244" t="s">
        <v>965</v>
      </c>
      <c r="H244" t="s">
        <v>174</v>
      </c>
      <c r="I244" t="s">
        <v>185</v>
      </c>
      <c r="J244" t="s">
        <v>474</v>
      </c>
      <c r="K244" t="s">
        <v>41</v>
      </c>
      <c r="L244" t="s">
        <v>42</v>
      </c>
      <c r="M244" t="s">
        <v>244</v>
      </c>
      <c r="N244" t="s">
        <v>572</v>
      </c>
      <c r="O244" t="s">
        <v>228</v>
      </c>
      <c r="P244" t="s">
        <v>46</v>
      </c>
      <c r="Q244" t="s">
        <v>229</v>
      </c>
      <c r="R244" t="s">
        <v>70</v>
      </c>
      <c r="S244" t="s">
        <v>49</v>
      </c>
      <c r="T244" t="s">
        <v>50</v>
      </c>
      <c r="U244" t="s">
        <v>51</v>
      </c>
      <c r="V244">
        <v>10</v>
      </c>
      <c r="W244" t="s">
        <v>52</v>
      </c>
      <c r="X244" s="2">
        <v>2520</v>
      </c>
      <c r="Y244" s="2">
        <v>25200</v>
      </c>
      <c r="Z244" t="s">
        <v>53</v>
      </c>
      <c r="AA244" s="3">
        <v>0.18</v>
      </c>
      <c r="AB244">
        <v>33041000</v>
      </c>
      <c r="AC244">
        <v>4540</v>
      </c>
      <c r="AD244" t="s">
        <v>108</v>
      </c>
      <c r="AE244" t="s">
        <v>55</v>
      </c>
      <c r="AF244" t="s">
        <v>56</v>
      </c>
      <c r="AG244" t="s">
        <v>127</v>
      </c>
    </row>
    <row r="245" spans="1:33" x14ac:dyDescent="0.3">
      <c r="A245" t="s">
        <v>733</v>
      </c>
      <c r="B245" t="s">
        <v>1272</v>
      </c>
      <c r="C245" s="1">
        <v>45331</v>
      </c>
      <c r="D245" s="1">
        <v>44576</v>
      </c>
      <c r="E245" t="s">
        <v>1273</v>
      </c>
      <c r="F245" t="s">
        <v>968</v>
      </c>
      <c r="G245" t="s">
        <v>969</v>
      </c>
      <c r="H245" t="s">
        <v>150</v>
      </c>
      <c r="I245" t="s">
        <v>163</v>
      </c>
      <c r="J245" t="s">
        <v>139</v>
      </c>
      <c r="K245" t="s">
        <v>65</v>
      </c>
      <c r="L245" t="s">
        <v>253</v>
      </c>
      <c r="M245" t="s">
        <v>43</v>
      </c>
      <c r="N245" t="s">
        <v>44</v>
      </c>
      <c r="O245" t="s">
        <v>511</v>
      </c>
      <c r="P245" t="s">
        <v>46</v>
      </c>
      <c r="Q245" t="s">
        <v>512</v>
      </c>
      <c r="R245" t="s">
        <v>70</v>
      </c>
      <c r="S245" t="s">
        <v>71</v>
      </c>
      <c r="T245" t="s">
        <v>72</v>
      </c>
      <c r="U245" t="s">
        <v>73</v>
      </c>
      <c r="V245">
        <v>20</v>
      </c>
      <c r="W245" t="s">
        <v>52</v>
      </c>
      <c r="X245">
        <v>675</v>
      </c>
      <c r="Y245" s="2">
        <v>13500</v>
      </c>
      <c r="Z245" t="s">
        <v>53</v>
      </c>
      <c r="AA245" s="3">
        <v>0.18</v>
      </c>
      <c r="AB245">
        <v>33071010</v>
      </c>
      <c r="AC245">
        <v>2430</v>
      </c>
      <c r="AD245" t="s">
        <v>54</v>
      </c>
      <c r="AE245" t="s">
        <v>75</v>
      </c>
      <c r="AF245" t="s">
        <v>76</v>
      </c>
      <c r="AG245" t="s">
        <v>218</v>
      </c>
    </row>
    <row r="246" spans="1:33" x14ac:dyDescent="0.3">
      <c r="A246" t="s">
        <v>733</v>
      </c>
      <c r="B246" t="s">
        <v>1274</v>
      </c>
      <c r="C246" s="1">
        <v>45337</v>
      </c>
      <c r="D246" s="1">
        <v>44576</v>
      </c>
      <c r="E246" t="s">
        <v>1275</v>
      </c>
      <c r="F246" t="s">
        <v>972</v>
      </c>
      <c r="G246" t="s">
        <v>973</v>
      </c>
      <c r="H246" t="s">
        <v>38</v>
      </c>
      <c r="I246" t="s">
        <v>185</v>
      </c>
      <c r="J246" t="s">
        <v>89</v>
      </c>
      <c r="K246" t="s">
        <v>194</v>
      </c>
      <c r="L246" t="s">
        <v>117</v>
      </c>
      <c r="M246" t="s">
        <v>66</v>
      </c>
      <c r="N246" t="s">
        <v>974</v>
      </c>
      <c r="O246" t="s">
        <v>237</v>
      </c>
      <c r="P246" t="s">
        <v>46</v>
      </c>
      <c r="Q246" t="s">
        <v>238</v>
      </c>
      <c r="R246" t="s">
        <v>70</v>
      </c>
      <c r="S246" t="s">
        <v>123</v>
      </c>
      <c r="T246" t="s">
        <v>178</v>
      </c>
      <c r="U246" t="s">
        <v>144</v>
      </c>
      <c r="V246">
        <v>20</v>
      </c>
      <c r="W246" t="s">
        <v>52</v>
      </c>
      <c r="X246" s="2">
        <v>6195</v>
      </c>
      <c r="Y246" s="2">
        <v>123900</v>
      </c>
      <c r="Z246" t="s">
        <v>53</v>
      </c>
      <c r="AA246" s="3">
        <v>0.18</v>
      </c>
      <c r="AB246">
        <v>33030050</v>
      </c>
      <c r="AC246">
        <v>22300</v>
      </c>
      <c r="AD246" t="s">
        <v>74</v>
      </c>
      <c r="AE246" t="s">
        <v>180</v>
      </c>
      <c r="AF246" t="s">
        <v>109</v>
      </c>
      <c r="AG246" t="s">
        <v>158</v>
      </c>
    </row>
    <row r="247" spans="1:33" x14ac:dyDescent="0.3">
      <c r="A247" t="s">
        <v>733</v>
      </c>
      <c r="B247" t="s">
        <v>1276</v>
      </c>
      <c r="C247" s="1">
        <v>45338</v>
      </c>
      <c r="D247" s="1">
        <v>44576</v>
      </c>
      <c r="E247" t="s">
        <v>1277</v>
      </c>
      <c r="F247" t="s">
        <v>977</v>
      </c>
      <c r="G247" t="s">
        <v>978</v>
      </c>
      <c r="H247" t="s">
        <v>62</v>
      </c>
      <c r="I247" t="s">
        <v>39</v>
      </c>
      <c r="J247" t="s">
        <v>186</v>
      </c>
      <c r="K247" t="s">
        <v>194</v>
      </c>
      <c r="L247" t="s">
        <v>187</v>
      </c>
      <c r="M247" t="s">
        <v>140</v>
      </c>
      <c r="N247" t="s">
        <v>227</v>
      </c>
      <c r="O247" t="s">
        <v>261</v>
      </c>
      <c r="P247" t="s">
        <v>247</v>
      </c>
      <c r="Q247" t="s">
        <v>262</v>
      </c>
      <c r="R247" t="s">
        <v>70</v>
      </c>
      <c r="S247" t="s">
        <v>188</v>
      </c>
      <c r="T247" t="s">
        <v>124</v>
      </c>
      <c r="U247" t="s">
        <v>168</v>
      </c>
      <c r="V247">
        <v>10</v>
      </c>
      <c r="W247" t="s">
        <v>52</v>
      </c>
      <c r="X247" s="2">
        <v>2325</v>
      </c>
      <c r="Y247" s="2">
        <v>23250</v>
      </c>
      <c r="Z247" t="s">
        <v>53</v>
      </c>
      <c r="AA247" s="3">
        <v>0.18</v>
      </c>
      <c r="AB247">
        <v>33051010</v>
      </c>
      <c r="AC247">
        <v>4190</v>
      </c>
      <c r="AD247" t="s">
        <v>125</v>
      </c>
      <c r="AE247" t="s">
        <v>145</v>
      </c>
      <c r="AF247" t="s">
        <v>56</v>
      </c>
      <c r="AG247" t="s">
        <v>97</v>
      </c>
    </row>
    <row r="248" spans="1:33" x14ac:dyDescent="0.3">
      <c r="A248" t="s">
        <v>733</v>
      </c>
      <c r="B248" t="s">
        <v>1278</v>
      </c>
      <c r="C248" s="1">
        <v>45343</v>
      </c>
      <c r="D248" s="1">
        <v>44580</v>
      </c>
      <c r="E248" t="s">
        <v>1279</v>
      </c>
      <c r="F248" t="s">
        <v>981</v>
      </c>
      <c r="G248" t="s">
        <v>982</v>
      </c>
      <c r="H248" t="s">
        <v>138</v>
      </c>
      <c r="I248" t="s">
        <v>63</v>
      </c>
      <c r="J248" t="s">
        <v>102</v>
      </c>
      <c r="K248" t="s">
        <v>41</v>
      </c>
      <c r="L248" t="s">
        <v>152</v>
      </c>
      <c r="M248" t="s">
        <v>267</v>
      </c>
      <c r="N248" t="s">
        <v>599</v>
      </c>
      <c r="O248" t="s">
        <v>350</v>
      </c>
      <c r="P248" t="s">
        <v>338</v>
      </c>
      <c r="Q248" t="s">
        <v>351</v>
      </c>
      <c r="R248" t="s">
        <v>70</v>
      </c>
      <c r="S248" t="s">
        <v>155</v>
      </c>
      <c r="T248" t="s">
        <v>50</v>
      </c>
      <c r="U248" t="s">
        <v>51</v>
      </c>
      <c r="V248">
        <v>10</v>
      </c>
      <c r="W248" t="s">
        <v>52</v>
      </c>
      <c r="X248">
        <v>150</v>
      </c>
      <c r="Y248" s="2">
        <v>1500</v>
      </c>
      <c r="Z248" t="s">
        <v>53</v>
      </c>
      <c r="AA248" s="3">
        <v>0.18</v>
      </c>
      <c r="AB248">
        <v>33059090</v>
      </c>
      <c r="AC248">
        <v>270</v>
      </c>
      <c r="AD248" t="s">
        <v>320</v>
      </c>
      <c r="AE248" t="s">
        <v>126</v>
      </c>
      <c r="AF248" t="s">
        <v>76</v>
      </c>
      <c r="AG248" t="s">
        <v>361</v>
      </c>
    </row>
    <row r="249" spans="1:33" x14ac:dyDescent="0.3">
      <c r="A249" t="s">
        <v>733</v>
      </c>
      <c r="B249" t="s">
        <v>1280</v>
      </c>
      <c r="C249" s="1">
        <v>45349</v>
      </c>
      <c r="D249" s="1">
        <v>44580</v>
      </c>
      <c r="E249" t="s">
        <v>1281</v>
      </c>
      <c r="F249" t="s">
        <v>1282</v>
      </c>
      <c r="G249" t="s">
        <v>1283</v>
      </c>
      <c r="H249" t="s">
        <v>138</v>
      </c>
      <c r="I249" t="s">
        <v>185</v>
      </c>
      <c r="J249" t="s">
        <v>116</v>
      </c>
      <c r="K249" t="s">
        <v>65</v>
      </c>
      <c r="L249" t="s">
        <v>117</v>
      </c>
      <c r="M249" t="s">
        <v>90</v>
      </c>
      <c r="N249" t="s">
        <v>214</v>
      </c>
      <c r="O249" t="s">
        <v>206</v>
      </c>
      <c r="P249" t="s">
        <v>46</v>
      </c>
      <c r="Q249" t="s">
        <v>207</v>
      </c>
      <c r="R249" t="s">
        <v>107</v>
      </c>
      <c r="S249" t="s">
        <v>123</v>
      </c>
      <c r="T249" t="s">
        <v>124</v>
      </c>
      <c r="U249" t="s">
        <v>51</v>
      </c>
      <c r="V249">
        <v>60</v>
      </c>
      <c r="W249" t="s">
        <v>52</v>
      </c>
      <c r="X249" s="2">
        <v>4606</v>
      </c>
      <c r="Y249" s="2">
        <v>276360</v>
      </c>
      <c r="Z249" t="s">
        <v>53</v>
      </c>
      <c r="AA249" s="3">
        <v>0.18</v>
      </c>
      <c r="AB249">
        <v>33071010</v>
      </c>
      <c r="AC249">
        <v>49740</v>
      </c>
      <c r="AD249" t="s">
        <v>95</v>
      </c>
      <c r="AE249" t="s">
        <v>55</v>
      </c>
      <c r="AF249" t="s">
        <v>76</v>
      </c>
      <c r="AG249" t="s">
        <v>199</v>
      </c>
    </row>
    <row r="250" spans="1:33" x14ac:dyDescent="0.3">
      <c r="A250" t="s">
        <v>733</v>
      </c>
      <c r="B250" t="s">
        <v>1284</v>
      </c>
      <c r="C250" s="1">
        <v>45350</v>
      </c>
      <c r="D250" s="1">
        <v>44580</v>
      </c>
      <c r="E250" t="s">
        <v>1285</v>
      </c>
      <c r="F250" t="s">
        <v>1286</v>
      </c>
      <c r="G250" t="s">
        <v>1287</v>
      </c>
      <c r="H250" t="s">
        <v>138</v>
      </c>
      <c r="I250" t="s">
        <v>185</v>
      </c>
      <c r="J250" t="s">
        <v>441</v>
      </c>
      <c r="K250" t="s">
        <v>194</v>
      </c>
      <c r="L250" t="s">
        <v>187</v>
      </c>
      <c r="M250" t="s">
        <v>153</v>
      </c>
      <c r="N250" t="s">
        <v>154</v>
      </c>
      <c r="O250" t="s">
        <v>215</v>
      </c>
      <c r="P250" t="s">
        <v>46</v>
      </c>
      <c r="Q250" t="s">
        <v>216</v>
      </c>
      <c r="R250" t="s">
        <v>48</v>
      </c>
      <c r="S250" t="s">
        <v>188</v>
      </c>
      <c r="T250" t="s">
        <v>197</v>
      </c>
      <c r="U250" t="s">
        <v>73</v>
      </c>
      <c r="V250">
        <v>200</v>
      </c>
      <c r="W250" t="s">
        <v>52</v>
      </c>
      <c r="X250">
        <v>5</v>
      </c>
      <c r="Y250" s="2">
        <v>1080</v>
      </c>
      <c r="Z250" t="s">
        <v>53</v>
      </c>
      <c r="AA250" s="3">
        <v>0.18</v>
      </c>
      <c r="AB250">
        <v>33030050</v>
      </c>
      <c r="AC250">
        <v>190</v>
      </c>
      <c r="AD250" t="s">
        <v>217</v>
      </c>
      <c r="AE250" t="s">
        <v>75</v>
      </c>
      <c r="AF250" t="s">
        <v>109</v>
      </c>
      <c r="AG250" t="s">
        <v>127</v>
      </c>
    </row>
    <row r="251" spans="1:33" x14ac:dyDescent="0.3">
      <c r="A251" t="s">
        <v>733</v>
      </c>
      <c r="B251" t="s">
        <v>1288</v>
      </c>
      <c r="C251" s="1">
        <v>45361</v>
      </c>
      <c r="D251" s="1">
        <v>44601</v>
      </c>
      <c r="E251" t="s">
        <v>1289</v>
      </c>
      <c r="F251" t="s">
        <v>60</v>
      </c>
      <c r="G251" t="s">
        <v>61</v>
      </c>
      <c r="H251" t="s">
        <v>62</v>
      </c>
      <c r="I251" t="s">
        <v>63</v>
      </c>
      <c r="J251" t="s">
        <v>64</v>
      </c>
      <c r="K251" t="s">
        <v>65</v>
      </c>
      <c r="L251" t="s">
        <v>253</v>
      </c>
      <c r="M251" t="s">
        <v>66</v>
      </c>
      <c r="N251" t="s">
        <v>67</v>
      </c>
      <c r="O251" t="s">
        <v>110</v>
      </c>
      <c r="P251" t="s">
        <v>79</v>
      </c>
      <c r="Q251" t="s">
        <v>111</v>
      </c>
      <c r="R251" t="s">
        <v>107</v>
      </c>
      <c r="S251" t="s">
        <v>71</v>
      </c>
      <c r="T251" t="s">
        <v>50</v>
      </c>
      <c r="U251" t="s">
        <v>144</v>
      </c>
      <c r="V251">
        <v>10</v>
      </c>
      <c r="W251" t="s">
        <v>52</v>
      </c>
      <c r="X251" s="2">
        <v>15000</v>
      </c>
      <c r="Y251" s="2">
        <v>150000</v>
      </c>
      <c r="Z251" t="s">
        <v>53</v>
      </c>
      <c r="AA251" s="3">
        <v>0.18</v>
      </c>
      <c r="AB251">
        <v>33030050</v>
      </c>
      <c r="AC251">
        <v>27000</v>
      </c>
      <c r="AD251" t="s">
        <v>179</v>
      </c>
      <c r="AE251" t="s">
        <v>145</v>
      </c>
      <c r="AF251" t="s">
        <v>56</v>
      </c>
      <c r="AG251" t="s">
        <v>199</v>
      </c>
    </row>
    <row r="252" spans="1:33" x14ac:dyDescent="0.3">
      <c r="A252" t="s">
        <v>733</v>
      </c>
      <c r="B252" t="s">
        <v>1290</v>
      </c>
      <c r="C252" s="1">
        <v>45352</v>
      </c>
      <c r="D252" s="1">
        <v>44601</v>
      </c>
      <c r="E252" t="s">
        <v>1291</v>
      </c>
      <c r="F252" t="s">
        <v>1292</v>
      </c>
      <c r="G252" t="s">
        <v>1293</v>
      </c>
      <c r="H252" t="s">
        <v>138</v>
      </c>
      <c r="I252" t="s">
        <v>163</v>
      </c>
      <c r="J252" t="s">
        <v>358</v>
      </c>
      <c r="K252" t="s">
        <v>194</v>
      </c>
      <c r="L252" t="s">
        <v>117</v>
      </c>
      <c r="M252" t="s">
        <v>140</v>
      </c>
      <c r="N252" t="s">
        <v>1054</v>
      </c>
      <c r="O252" t="s">
        <v>120</v>
      </c>
      <c r="P252" t="s">
        <v>79</v>
      </c>
      <c r="Q252" t="s">
        <v>121</v>
      </c>
      <c r="R252" t="s">
        <v>48</v>
      </c>
      <c r="S252" t="s">
        <v>123</v>
      </c>
      <c r="T252" t="s">
        <v>50</v>
      </c>
      <c r="U252" t="s">
        <v>51</v>
      </c>
      <c r="V252">
        <v>40</v>
      </c>
      <c r="W252" t="s">
        <v>52</v>
      </c>
      <c r="X252" s="2">
        <v>15000</v>
      </c>
      <c r="Y252" s="2">
        <v>600000</v>
      </c>
      <c r="Z252" t="s">
        <v>53</v>
      </c>
      <c r="AA252" s="3">
        <v>0.18</v>
      </c>
      <c r="AB252">
        <v>33051010</v>
      </c>
      <c r="AC252">
        <v>108000</v>
      </c>
      <c r="AD252" t="s">
        <v>189</v>
      </c>
      <c r="AE252" t="s">
        <v>126</v>
      </c>
      <c r="AF252" t="s">
        <v>56</v>
      </c>
      <c r="AG252" t="s">
        <v>127</v>
      </c>
    </row>
    <row r="253" spans="1:33" x14ac:dyDescent="0.3">
      <c r="A253" t="s">
        <v>733</v>
      </c>
      <c r="B253" t="s">
        <v>1294</v>
      </c>
      <c r="C253" s="1">
        <v>45352</v>
      </c>
      <c r="D253" s="1">
        <v>44601</v>
      </c>
      <c r="E253" t="s">
        <v>1295</v>
      </c>
      <c r="F253" t="s">
        <v>409</v>
      </c>
      <c r="G253" t="s">
        <v>410</v>
      </c>
      <c r="H253" t="s">
        <v>174</v>
      </c>
      <c r="I253" t="s">
        <v>175</v>
      </c>
      <c r="J253" t="s">
        <v>151</v>
      </c>
      <c r="K253" t="s">
        <v>41</v>
      </c>
      <c r="L253" t="s">
        <v>187</v>
      </c>
      <c r="M253" t="s">
        <v>267</v>
      </c>
      <c r="N253" t="s">
        <v>411</v>
      </c>
      <c r="O253" t="s">
        <v>128</v>
      </c>
      <c r="P253" t="s">
        <v>79</v>
      </c>
      <c r="Q253" t="s">
        <v>129</v>
      </c>
      <c r="R253" t="s">
        <v>48</v>
      </c>
      <c r="S253" t="s">
        <v>188</v>
      </c>
      <c r="T253" t="s">
        <v>72</v>
      </c>
      <c r="U253" t="s">
        <v>73</v>
      </c>
      <c r="V253">
        <v>10</v>
      </c>
      <c r="W253" t="s">
        <v>52</v>
      </c>
      <c r="X253" s="2">
        <v>15000</v>
      </c>
      <c r="Y253" s="2">
        <v>150000</v>
      </c>
      <c r="Z253" t="s">
        <v>53</v>
      </c>
      <c r="AA253" s="3">
        <v>0.18</v>
      </c>
      <c r="AB253">
        <v>33059090</v>
      </c>
      <c r="AC253">
        <v>27000</v>
      </c>
      <c r="AD253" t="s">
        <v>157</v>
      </c>
      <c r="AE253" t="s">
        <v>180</v>
      </c>
      <c r="AF253" t="s">
        <v>56</v>
      </c>
      <c r="AG253" t="s">
        <v>218</v>
      </c>
    </row>
    <row r="254" spans="1:33" x14ac:dyDescent="0.3">
      <c r="A254" t="s">
        <v>733</v>
      </c>
      <c r="B254" t="s">
        <v>1296</v>
      </c>
      <c r="C254" s="1">
        <v>45357</v>
      </c>
      <c r="D254" s="1">
        <v>44606</v>
      </c>
      <c r="E254" t="s">
        <v>1297</v>
      </c>
      <c r="F254" t="s">
        <v>1298</v>
      </c>
      <c r="G254" t="s">
        <v>1299</v>
      </c>
      <c r="H254" t="s">
        <v>150</v>
      </c>
      <c r="I254" t="s">
        <v>185</v>
      </c>
      <c r="J254" t="s">
        <v>474</v>
      </c>
      <c r="K254" t="s">
        <v>41</v>
      </c>
      <c r="L254" t="s">
        <v>152</v>
      </c>
      <c r="M254" t="s">
        <v>235</v>
      </c>
      <c r="N254" t="s">
        <v>236</v>
      </c>
      <c r="O254" t="s">
        <v>130</v>
      </c>
      <c r="P254" t="s">
        <v>79</v>
      </c>
      <c r="Q254" t="s">
        <v>131</v>
      </c>
      <c r="R254" t="s">
        <v>122</v>
      </c>
      <c r="S254" t="s">
        <v>155</v>
      </c>
      <c r="T254" t="s">
        <v>178</v>
      </c>
      <c r="U254" t="s">
        <v>144</v>
      </c>
      <c r="V254">
        <v>50</v>
      </c>
      <c r="W254" t="s">
        <v>52</v>
      </c>
      <c r="X254">
        <v>100</v>
      </c>
      <c r="Y254" s="2">
        <v>5000</v>
      </c>
      <c r="Z254" t="s">
        <v>53</v>
      </c>
      <c r="AA254" s="3">
        <v>0.18</v>
      </c>
      <c r="AB254">
        <v>33049930</v>
      </c>
      <c r="AC254">
        <v>900</v>
      </c>
      <c r="AD254" t="s">
        <v>95</v>
      </c>
      <c r="AE254" t="s">
        <v>145</v>
      </c>
      <c r="AF254" t="s">
        <v>76</v>
      </c>
      <c r="AG254" t="s">
        <v>158</v>
      </c>
    </row>
    <row r="255" spans="1:33" x14ac:dyDescent="0.3">
      <c r="A255" t="s">
        <v>733</v>
      </c>
      <c r="B255" t="s">
        <v>1300</v>
      </c>
      <c r="C255" s="1">
        <v>45358</v>
      </c>
      <c r="D255" s="1">
        <v>44607</v>
      </c>
      <c r="E255" t="s">
        <v>1301</v>
      </c>
      <c r="F255" t="s">
        <v>1302</v>
      </c>
      <c r="G255" t="s">
        <v>1303</v>
      </c>
      <c r="H255" t="s">
        <v>38</v>
      </c>
      <c r="I255" t="s">
        <v>39</v>
      </c>
      <c r="J255" t="s">
        <v>139</v>
      </c>
      <c r="K255" t="s">
        <v>65</v>
      </c>
      <c r="L255" t="s">
        <v>42</v>
      </c>
      <c r="M255" t="s">
        <v>244</v>
      </c>
      <c r="N255" t="s">
        <v>376</v>
      </c>
      <c r="O255" t="s">
        <v>132</v>
      </c>
      <c r="P255" t="s">
        <v>79</v>
      </c>
      <c r="Q255" t="s">
        <v>133</v>
      </c>
      <c r="R255" t="s">
        <v>122</v>
      </c>
      <c r="S255" t="s">
        <v>49</v>
      </c>
      <c r="T255" t="s">
        <v>124</v>
      </c>
      <c r="U255" t="s">
        <v>51</v>
      </c>
      <c r="V255">
        <v>20</v>
      </c>
      <c r="W255" t="s">
        <v>52</v>
      </c>
      <c r="X255" s="2">
        <v>4095</v>
      </c>
      <c r="Y255" s="2">
        <v>81900</v>
      </c>
      <c r="Z255" t="s">
        <v>53</v>
      </c>
      <c r="AA255" s="3">
        <v>0.18</v>
      </c>
      <c r="AB255">
        <v>33041000</v>
      </c>
      <c r="AC255">
        <v>14740</v>
      </c>
      <c r="AD255" t="s">
        <v>217</v>
      </c>
      <c r="AE255" t="s">
        <v>126</v>
      </c>
      <c r="AF255" t="s">
        <v>56</v>
      </c>
      <c r="AG255" t="s">
        <v>97</v>
      </c>
    </row>
    <row r="256" spans="1:33" x14ac:dyDescent="0.3">
      <c r="A256" t="s">
        <v>733</v>
      </c>
      <c r="B256" t="s">
        <v>1304</v>
      </c>
      <c r="C256" s="1">
        <v>45370</v>
      </c>
      <c r="D256" s="1">
        <v>44608</v>
      </c>
      <c r="E256" t="s">
        <v>1305</v>
      </c>
      <c r="F256" t="s">
        <v>87</v>
      </c>
      <c r="G256" t="s">
        <v>88</v>
      </c>
      <c r="H256" t="s">
        <v>62</v>
      </c>
      <c r="I256" t="s">
        <v>63</v>
      </c>
      <c r="J256" t="s">
        <v>89</v>
      </c>
      <c r="K256" t="s">
        <v>41</v>
      </c>
      <c r="L256" t="s">
        <v>42</v>
      </c>
      <c r="M256" t="s">
        <v>90</v>
      </c>
      <c r="N256" t="s">
        <v>91</v>
      </c>
      <c r="O256" t="s">
        <v>539</v>
      </c>
      <c r="P256" t="s">
        <v>79</v>
      </c>
      <c r="Q256" t="s">
        <v>540</v>
      </c>
      <c r="R256" t="s">
        <v>122</v>
      </c>
      <c r="S256" t="s">
        <v>49</v>
      </c>
      <c r="T256" t="s">
        <v>197</v>
      </c>
      <c r="U256" t="s">
        <v>73</v>
      </c>
      <c r="V256">
        <v>10</v>
      </c>
      <c r="W256" t="s">
        <v>52</v>
      </c>
      <c r="X256" s="2">
        <v>4949</v>
      </c>
      <c r="Y256" s="2">
        <v>49490</v>
      </c>
      <c r="Z256" t="s">
        <v>53</v>
      </c>
      <c r="AA256" s="3">
        <v>0.18</v>
      </c>
      <c r="AB256">
        <v>33071010</v>
      </c>
      <c r="AC256">
        <v>8910</v>
      </c>
      <c r="AD256" t="s">
        <v>54</v>
      </c>
      <c r="AE256" t="s">
        <v>209</v>
      </c>
      <c r="AF256" t="s">
        <v>76</v>
      </c>
      <c r="AG256" t="s">
        <v>361</v>
      </c>
    </row>
    <row r="257" spans="1:33" x14ac:dyDescent="0.3">
      <c r="A257" t="s">
        <v>733</v>
      </c>
      <c r="B257" t="s">
        <v>1306</v>
      </c>
      <c r="C257" s="1">
        <v>45362</v>
      </c>
      <c r="D257" s="1">
        <v>44609</v>
      </c>
      <c r="E257" t="s">
        <v>1307</v>
      </c>
      <c r="F257" t="s">
        <v>418</v>
      </c>
      <c r="G257" t="s">
        <v>419</v>
      </c>
      <c r="H257" t="s">
        <v>38</v>
      </c>
      <c r="I257" t="s">
        <v>39</v>
      </c>
      <c r="J257" t="s">
        <v>186</v>
      </c>
      <c r="K257" t="s">
        <v>41</v>
      </c>
      <c r="L257" t="s">
        <v>42</v>
      </c>
      <c r="M257" t="s">
        <v>153</v>
      </c>
      <c r="N257" t="s">
        <v>420</v>
      </c>
      <c r="O257" t="s">
        <v>296</v>
      </c>
      <c r="P257" t="s">
        <v>276</v>
      </c>
      <c r="Q257" t="s">
        <v>297</v>
      </c>
      <c r="R257" t="s">
        <v>48</v>
      </c>
      <c r="S257" t="s">
        <v>49</v>
      </c>
      <c r="T257" t="s">
        <v>50</v>
      </c>
      <c r="U257" t="s">
        <v>51</v>
      </c>
      <c r="V257">
        <v>10</v>
      </c>
      <c r="W257" t="s">
        <v>52</v>
      </c>
      <c r="X257">
        <v>250</v>
      </c>
      <c r="Y257" s="2">
        <v>2500</v>
      </c>
      <c r="Z257" t="s">
        <v>53</v>
      </c>
      <c r="AA257" s="3">
        <v>0.18</v>
      </c>
      <c r="AB257">
        <v>33030050</v>
      </c>
      <c r="AC257">
        <v>450</v>
      </c>
      <c r="AD257" t="s">
        <v>74</v>
      </c>
      <c r="AE257" t="s">
        <v>96</v>
      </c>
      <c r="AF257" t="s">
        <v>109</v>
      </c>
      <c r="AG257" t="s">
        <v>57</v>
      </c>
    </row>
    <row r="258" spans="1:33" x14ac:dyDescent="0.3">
      <c r="A258" t="s">
        <v>733</v>
      </c>
      <c r="B258" t="s">
        <v>1308</v>
      </c>
      <c r="C258" s="1">
        <v>45364</v>
      </c>
      <c r="D258" s="1">
        <v>44610</v>
      </c>
      <c r="E258" t="s">
        <v>1309</v>
      </c>
      <c r="F258" t="s">
        <v>100</v>
      </c>
      <c r="G258" t="s">
        <v>101</v>
      </c>
      <c r="H258" t="s">
        <v>62</v>
      </c>
      <c r="I258" t="s">
        <v>63</v>
      </c>
      <c r="J258" t="s">
        <v>102</v>
      </c>
      <c r="K258" t="s">
        <v>41</v>
      </c>
      <c r="L258" t="s">
        <v>42</v>
      </c>
      <c r="M258" t="s">
        <v>103</v>
      </c>
      <c r="N258" t="s">
        <v>104</v>
      </c>
      <c r="O258" t="s">
        <v>620</v>
      </c>
      <c r="P258" t="s">
        <v>276</v>
      </c>
      <c r="Q258" t="s">
        <v>621</v>
      </c>
      <c r="R258" t="s">
        <v>70</v>
      </c>
      <c r="S258" t="s">
        <v>49</v>
      </c>
      <c r="T258" t="s">
        <v>72</v>
      </c>
      <c r="U258" t="s">
        <v>73</v>
      </c>
      <c r="V258">
        <v>20</v>
      </c>
      <c r="W258" t="s">
        <v>52</v>
      </c>
      <c r="X258" s="2">
        <v>2874</v>
      </c>
      <c r="Y258" s="2">
        <v>57490</v>
      </c>
      <c r="Z258" t="s">
        <v>53</v>
      </c>
      <c r="AA258" s="3">
        <v>0.18</v>
      </c>
      <c r="AB258">
        <v>33013091</v>
      </c>
      <c r="AC258">
        <v>10350</v>
      </c>
      <c r="AD258" t="s">
        <v>125</v>
      </c>
      <c r="AE258" t="s">
        <v>55</v>
      </c>
      <c r="AF258" t="s">
        <v>56</v>
      </c>
      <c r="AG258" t="s">
        <v>77</v>
      </c>
    </row>
    <row r="259" spans="1:33" x14ac:dyDescent="0.3">
      <c r="A259" t="s">
        <v>733</v>
      </c>
      <c r="B259" t="s">
        <v>1310</v>
      </c>
      <c r="C259" s="1">
        <v>45365</v>
      </c>
      <c r="D259" s="1">
        <v>44611</v>
      </c>
      <c r="E259" t="s">
        <v>1311</v>
      </c>
      <c r="F259" t="s">
        <v>431</v>
      </c>
      <c r="G259" t="s">
        <v>432</v>
      </c>
      <c r="H259" t="s">
        <v>62</v>
      </c>
      <c r="I259" t="s">
        <v>63</v>
      </c>
      <c r="J259" t="s">
        <v>243</v>
      </c>
      <c r="K259" t="s">
        <v>41</v>
      </c>
      <c r="L259" t="s">
        <v>253</v>
      </c>
      <c r="M259" t="s">
        <v>176</v>
      </c>
      <c r="N259" t="s">
        <v>177</v>
      </c>
      <c r="O259" t="s">
        <v>451</v>
      </c>
      <c r="P259" t="s">
        <v>276</v>
      </c>
      <c r="Q259" t="s">
        <v>452</v>
      </c>
      <c r="R259" t="s">
        <v>70</v>
      </c>
      <c r="S259" t="s">
        <v>71</v>
      </c>
      <c r="T259" t="s">
        <v>124</v>
      </c>
      <c r="U259" t="s">
        <v>73</v>
      </c>
      <c r="V259">
        <v>30</v>
      </c>
      <c r="W259" t="s">
        <v>52</v>
      </c>
      <c r="X259">
        <v>49</v>
      </c>
      <c r="Y259" s="2">
        <v>1460</v>
      </c>
      <c r="Z259" t="s">
        <v>53</v>
      </c>
      <c r="AA259" s="3">
        <v>0.18</v>
      </c>
      <c r="AB259">
        <v>33013091</v>
      </c>
      <c r="AC259">
        <v>260</v>
      </c>
      <c r="AD259" t="s">
        <v>468</v>
      </c>
      <c r="AE259" t="s">
        <v>180</v>
      </c>
      <c r="AF259" t="s">
        <v>109</v>
      </c>
      <c r="AG259" t="s">
        <v>127</v>
      </c>
    </row>
    <row r="260" spans="1:33" x14ac:dyDescent="0.3">
      <c r="A260" t="s">
        <v>733</v>
      </c>
      <c r="B260" t="s">
        <v>1312</v>
      </c>
      <c r="C260" s="1">
        <v>45382</v>
      </c>
      <c r="D260" s="1">
        <v>44611</v>
      </c>
      <c r="E260" t="s">
        <v>1313</v>
      </c>
      <c r="F260" t="s">
        <v>114</v>
      </c>
      <c r="G260" t="s">
        <v>115</v>
      </c>
      <c r="H260" t="s">
        <v>38</v>
      </c>
      <c r="I260" t="s">
        <v>39</v>
      </c>
      <c r="J260" t="s">
        <v>116</v>
      </c>
      <c r="K260" t="s">
        <v>65</v>
      </c>
      <c r="L260" t="s">
        <v>117</v>
      </c>
      <c r="M260" t="s">
        <v>118</v>
      </c>
      <c r="N260" t="s">
        <v>119</v>
      </c>
      <c r="O260" t="s">
        <v>329</v>
      </c>
      <c r="P260" t="s">
        <v>276</v>
      </c>
      <c r="Q260" t="s">
        <v>330</v>
      </c>
      <c r="R260" t="s">
        <v>70</v>
      </c>
      <c r="S260" t="s">
        <v>123</v>
      </c>
      <c r="T260" t="s">
        <v>197</v>
      </c>
      <c r="U260" t="s">
        <v>144</v>
      </c>
      <c r="V260">
        <v>10</v>
      </c>
      <c r="W260" t="s">
        <v>52</v>
      </c>
      <c r="X260" s="2">
        <v>1068</v>
      </c>
      <c r="Y260" s="2">
        <v>10680</v>
      </c>
      <c r="Z260" t="s">
        <v>53</v>
      </c>
      <c r="AA260" s="3">
        <v>0.18</v>
      </c>
      <c r="AB260">
        <v>33012948</v>
      </c>
      <c r="AC260">
        <v>1920</v>
      </c>
      <c r="AD260" t="s">
        <v>157</v>
      </c>
      <c r="AE260" t="s">
        <v>145</v>
      </c>
      <c r="AF260" t="s">
        <v>56</v>
      </c>
      <c r="AG260" t="s">
        <v>218</v>
      </c>
    </row>
    <row r="261" spans="1:33" x14ac:dyDescent="0.3">
      <c r="A261" t="s">
        <v>733</v>
      </c>
      <c r="B261" t="s">
        <v>1314</v>
      </c>
      <c r="C261" s="1">
        <v>45363</v>
      </c>
      <c r="D261" s="1">
        <v>44611</v>
      </c>
      <c r="E261" t="s">
        <v>1315</v>
      </c>
      <c r="F261" t="s">
        <v>439</v>
      </c>
      <c r="G261" t="s">
        <v>440</v>
      </c>
      <c r="H261" t="s">
        <v>62</v>
      </c>
      <c r="I261" t="s">
        <v>63</v>
      </c>
      <c r="J261" t="s">
        <v>441</v>
      </c>
      <c r="K261" t="s">
        <v>194</v>
      </c>
      <c r="L261" t="s">
        <v>42</v>
      </c>
      <c r="M261" t="s">
        <v>195</v>
      </c>
      <c r="N261" t="s">
        <v>347</v>
      </c>
      <c r="O261" t="s">
        <v>331</v>
      </c>
      <c r="P261" t="s">
        <v>276</v>
      </c>
      <c r="Q261" t="s">
        <v>332</v>
      </c>
      <c r="R261" t="s">
        <v>70</v>
      </c>
      <c r="S261" t="s">
        <v>49</v>
      </c>
      <c r="T261" t="s">
        <v>50</v>
      </c>
      <c r="U261" t="s">
        <v>51</v>
      </c>
      <c r="V261">
        <v>20</v>
      </c>
      <c r="W261" t="s">
        <v>52</v>
      </c>
      <c r="X261">
        <v>708</v>
      </c>
      <c r="Y261" s="2">
        <v>14150</v>
      </c>
      <c r="Z261" t="s">
        <v>53</v>
      </c>
      <c r="AA261" s="3">
        <v>0.18</v>
      </c>
      <c r="AB261">
        <v>33051010</v>
      </c>
      <c r="AC261">
        <v>2550</v>
      </c>
      <c r="AD261" t="s">
        <v>95</v>
      </c>
      <c r="AE261" t="s">
        <v>126</v>
      </c>
      <c r="AF261" t="s">
        <v>76</v>
      </c>
      <c r="AG261" t="s">
        <v>158</v>
      </c>
    </row>
    <row r="262" spans="1:33" x14ac:dyDescent="0.3">
      <c r="A262" t="s">
        <v>733</v>
      </c>
      <c r="B262" t="s">
        <v>1316</v>
      </c>
      <c r="C262" s="1">
        <v>45382</v>
      </c>
      <c r="D262" s="1">
        <v>44611</v>
      </c>
      <c r="E262" t="s">
        <v>1317</v>
      </c>
      <c r="F262" t="s">
        <v>932</v>
      </c>
      <c r="G262" t="s">
        <v>933</v>
      </c>
      <c r="H262" t="s">
        <v>138</v>
      </c>
      <c r="I262" t="s">
        <v>163</v>
      </c>
      <c r="J262" t="s">
        <v>346</v>
      </c>
      <c r="K262" t="s">
        <v>41</v>
      </c>
      <c r="L262" t="s">
        <v>253</v>
      </c>
      <c r="M262" t="s">
        <v>204</v>
      </c>
      <c r="N262" t="s">
        <v>205</v>
      </c>
      <c r="O262" t="s">
        <v>453</v>
      </c>
      <c r="P262" t="s">
        <v>276</v>
      </c>
      <c r="Q262" t="s">
        <v>454</v>
      </c>
      <c r="R262" t="s">
        <v>94</v>
      </c>
      <c r="S262" t="s">
        <v>71</v>
      </c>
      <c r="T262" t="s">
        <v>50</v>
      </c>
      <c r="U262" t="s">
        <v>73</v>
      </c>
      <c r="V262">
        <v>10</v>
      </c>
      <c r="W262" t="s">
        <v>52</v>
      </c>
      <c r="X262" s="2">
        <v>2129</v>
      </c>
      <c r="Y262" s="2">
        <v>21290</v>
      </c>
      <c r="Z262" t="s">
        <v>53</v>
      </c>
      <c r="AA262" s="3">
        <v>0.18</v>
      </c>
      <c r="AB262">
        <v>33059090</v>
      </c>
      <c r="AC262">
        <v>3830</v>
      </c>
      <c r="AD262" t="s">
        <v>217</v>
      </c>
      <c r="AE262" t="s">
        <v>209</v>
      </c>
      <c r="AF262" t="s">
        <v>109</v>
      </c>
      <c r="AG262" t="s">
        <v>97</v>
      </c>
    </row>
    <row r="263" spans="1:33" x14ac:dyDescent="0.3">
      <c r="A263" t="s">
        <v>733</v>
      </c>
      <c r="B263" t="s">
        <v>1318</v>
      </c>
      <c r="C263" s="1">
        <v>45378</v>
      </c>
      <c r="D263" s="1">
        <v>44620</v>
      </c>
      <c r="E263" t="s">
        <v>1319</v>
      </c>
      <c r="F263" t="s">
        <v>1320</v>
      </c>
      <c r="G263" t="s">
        <v>1321</v>
      </c>
      <c r="H263" t="s">
        <v>62</v>
      </c>
      <c r="I263" t="s">
        <v>163</v>
      </c>
      <c r="J263" t="s">
        <v>40</v>
      </c>
      <c r="K263" t="s">
        <v>194</v>
      </c>
      <c r="L263" t="s">
        <v>42</v>
      </c>
      <c r="M263" t="s">
        <v>43</v>
      </c>
      <c r="N263" t="s">
        <v>459</v>
      </c>
      <c r="O263" t="s">
        <v>414</v>
      </c>
      <c r="P263" t="s">
        <v>46</v>
      </c>
      <c r="Q263" t="s">
        <v>415</v>
      </c>
      <c r="R263" t="s">
        <v>48</v>
      </c>
      <c r="S263" t="s">
        <v>49</v>
      </c>
      <c r="T263" t="s">
        <v>72</v>
      </c>
      <c r="U263" t="s">
        <v>51</v>
      </c>
      <c r="V263">
        <v>20</v>
      </c>
      <c r="W263" t="s">
        <v>52</v>
      </c>
      <c r="X263">
        <v>839</v>
      </c>
      <c r="Y263" s="2">
        <v>16770</v>
      </c>
      <c r="Z263" t="s">
        <v>53</v>
      </c>
      <c r="AA263" s="3">
        <v>0.18</v>
      </c>
      <c r="AB263">
        <v>33059090</v>
      </c>
      <c r="AC263">
        <v>3020</v>
      </c>
      <c r="AD263" t="s">
        <v>189</v>
      </c>
      <c r="AE263" t="s">
        <v>209</v>
      </c>
      <c r="AF263" t="s">
        <v>76</v>
      </c>
      <c r="AG263" t="s">
        <v>77</v>
      </c>
    </row>
    <row r="264" spans="1:33" x14ac:dyDescent="0.3">
      <c r="A264" t="s">
        <v>733</v>
      </c>
      <c r="B264" t="s">
        <v>1322</v>
      </c>
      <c r="C264" s="1">
        <v>45381</v>
      </c>
      <c r="D264" s="1">
        <v>44621</v>
      </c>
      <c r="E264" t="s">
        <v>1323</v>
      </c>
      <c r="F264" t="s">
        <v>1324</v>
      </c>
      <c r="G264" t="s">
        <v>1325</v>
      </c>
      <c r="H264" t="s">
        <v>174</v>
      </c>
      <c r="I264" t="s">
        <v>163</v>
      </c>
      <c r="J264" t="s">
        <v>358</v>
      </c>
      <c r="K264" t="s">
        <v>65</v>
      </c>
      <c r="L264" t="s">
        <v>117</v>
      </c>
      <c r="M264" t="s">
        <v>43</v>
      </c>
      <c r="N264" t="s">
        <v>1326</v>
      </c>
      <c r="O264" t="s">
        <v>401</v>
      </c>
      <c r="P264" t="s">
        <v>338</v>
      </c>
      <c r="Q264" t="s">
        <v>402</v>
      </c>
      <c r="R264" t="s">
        <v>122</v>
      </c>
      <c r="S264" t="s">
        <v>123</v>
      </c>
      <c r="T264" t="s">
        <v>50</v>
      </c>
      <c r="U264" t="s">
        <v>51</v>
      </c>
      <c r="V264">
        <v>10</v>
      </c>
      <c r="W264" t="s">
        <v>52</v>
      </c>
      <c r="X264">
        <v>585</v>
      </c>
      <c r="Y264" s="2">
        <v>5850</v>
      </c>
      <c r="Z264" t="s">
        <v>53</v>
      </c>
      <c r="AA264" s="3">
        <v>0.18</v>
      </c>
      <c r="AB264">
        <v>33051010</v>
      </c>
      <c r="AC264">
        <v>1050</v>
      </c>
      <c r="AD264" t="s">
        <v>95</v>
      </c>
      <c r="AE264" t="s">
        <v>75</v>
      </c>
      <c r="AF264" t="s">
        <v>56</v>
      </c>
      <c r="AG264" t="s">
        <v>127</v>
      </c>
    </row>
    <row r="265" spans="1:33" x14ac:dyDescent="0.3">
      <c r="A265" t="s">
        <v>733</v>
      </c>
      <c r="B265" t="s">
        <v>1327</v>
      </c>
      <c r="C265" s="1">
        <v>45382</v>
      </c>
      <c r="D265" s="1">
        <v>44621</v>
      </c>
      <c r="E265" t="s">
        <v>1328</v>
      </c>
      <c r="F265" t="s">
        <v>1329</v>
      </c>
      <c r="G265" t="s">
        <v>1330</v>
      </c>
      <c r="H265" t="s">
        <v>38</v>
      </c>
      <c r="I265" t="s">
        <v>39</v>
      </c>
      <c r="J265" t="s">
        <v>151</v>
      </c>
      <c r="K265" t="s">
        <v>194</v>
      </c>
      <c r="L265" t="s">
        <v>42</v>
      </c>
      <c r="M265" t="s">
        <v>43</v>
      </c>
      <c r="N265" t="s">
        <v>1326</v>
      </c>
      <c r="O265" t="s">
        <v>403</v>
      </c>
      <c r="P265" t="s">
        <v>338</v>
      </c>
      <c r="Q265" t="s">
        <v>404</v>
      </c>
      <c r="R265" t="s">
        <v>122</v>
      </c>
      <c r="S265" t="s">
        <v>49</v>
      </c>
      <c r="T265" t="s">
        <v>72</v>
      </c>
      <c r="U265" t="s">
        <v>51</v>
      </c>
      <c r="V265">
        <v>10</v>
      </c>
      <c r="W265" t="s">
        <v>52</v>
      </c>
      <c r="X265">
        <v>218</v>
      </c>
      <c r="Y265" s="2">
        <v>2180</v>
      </c>
      <c r="Z265" t="s">
        <v>53</v>
      </c>
      <c r="AA265" s="3">
        <v>0.18</v>
      </c>
      <c r="AB265">
        <v>33059090</v>
      </c>
      <c r="AC265">
        <v>390</v>
      </c>
      <c r="AD265" t="s">
        <v>217</v>
      </c>
      <c r="AE265" t="s">
        <v>180</v>
      </c>
      <c r="AF265" t="s">
        <v>76</v>
      </c>
      <c r="AG265" t="s">
        <v>57</v>
      </c>
    </row>
    <row r="266" spans="1:33" x14ac:dyDescent="0.3">
      <c r="A266" t="s">
        <v>733</v>
      </c>
      <c r="B266" t="s">
        <v>1331</v>
      </c>
      <c r="C266" s="1">
        <v>45382</v>
      </c>
      <c r="D266" s="1">
        <v>44621</v>
      </c>
      <c r="E266" t="s">
        <v>1332</v>
      </c>
      <c r="F266" t="s">
        <v>1333</v>
      </c>
      <c r="G266" t="s">
        <v>1334</v>
      </c>
      <c r="H266" t="s">
        <v>38</v>
      </c>
      <c r="I266" t="s">
        <v>63</v>
      </c>
      <c r="J266" t="s">
        <v>474</v>
      </c>
      <c r="K266" t="s">
        <v>41</v>
      </c>
      <c r="L266" t="s">
        <v>253</v>
      </c>
      <c r="M266" t="s">
        <v>797</v>
      </c>
      <c r="N266" t="s">
        <v>798</v>
      </c>
      <c r="O266" t="s">
        <v>405</v>
      </c>
      <c r="P266" t="s">
        <v>338</v>
      </c>
      <c r="Q266" t="s">
        <v>406</v>
      </c>
      <c r="R266" t="s">
        <v>122</v>
      </c>
      <c r="S266" t="s">
        <v>71</v>
      </c>
      <c r="T266" t="s">
        <v>178</v>
      </c>
      <c r="U266" t="s">
        <v>73</v>
      </c>
      <c r="V266">
        <v>20</v>
      </c>
      <c r="W266" t="s">
        <v>52</v>
      </c>
      <c r="X266">
        <v>62</v>
      </c>
      <c r="Y266" s="2">
        <v>1250</v>
      </c>
      <c r="Z266" t="s">
        <v>53</v>
      </c>
      <c r="AA266" s="3">
        <v>0.18</v>
      </c>
      <c r="AB266">
        <v>33049930</v>
      </c>
      <c r="AC266">
        <v>220</v>
      </c>
      <c r="AD266" t="s">
        <v>108</v>
      </c>
      <c r="AE266" t="s">
        <v>145</v>
      </c>
      <c r="AF266" t="s">
        <v>109</v>
      </c>
      <c r="AG266" t="s">
        <v>77</v>
      </c>
    </row>
    <row r="267" spans="1:33" x14ac:dyDescent="0.3">
      <c r="A267" t="s">
        <v>733</v>
      </c>
      <c r="B267" t="s">
        <v>1335</v>
      </c>
      <c r="C267" s="1">
        <v>45382</v>
      </c>
      <c r="D267" s="1">
        <v>44621</v>
      </c>
      <c r="E267" t="s">
        <v>1336</v>
      </c>
      <c r="F267" t="s">
        <v>927</v>
      </c>
      <c r="G267" t="s">
        <v>928</v>
      </c>
      <c r="H267" t="s">
        <v>62</v>
      </c>
      <c r="I267" t="s">
        <v>163</v>
      </c>
      <c r="J267" t="s">
        <v>139</v>
      </c>
      <c r="K267" t="s">
        <v>65</v>
      </c>
      <c r="L267" t="s">
        <v>117</v>
      </c>
      <c r="M267" t="s">
        <v>797</v>
      </c>
      <c r="N267" t="s">
        <v>929</v>
      </c>
      <c r="O267" t="s">
        <v>460</v>
      </c>
      <c r="P267" t="s">
        <v>46</v>
      </c>
      <c r="Q267" t="s">
        <v>461</v>
      </c>
      <c r="R267" t="s">
        <v>48</v>
      </c>
      <c r="S267" t="s">
        <v>123</v>
      </c>
      <c r="T267" t="s">
        <v>124</v>
      </c>
      <c r="U267" t="s">
        <v>51</v>
      </c>
      <c r="V267">
        <v>10</v>
      </c>
      <c r="W267" t="s">
        <v>52</v>
      </c>
      <c r="X267" s="2">
        <v>2399</v>
      </c>
      <c r="Y267" s="2">
        <v>23990</v>
      </c>
      <c r="Z267" t="s">
        <v>53</v>
      </c>
      <c r="AA267" s="3">
        <v>0.18</v>
      </c>
      <c r="AB267">
        <v>33041000</v>
      </c>
      <c r="AC267">
        <v>4320</v>
      </c>
      <c r="AD267" t="s">
        <v>54</v>
      </c>
      <c r="AE267" t="s">
        <v>126</v>
      </c>
      <c r="AF267" t="s">
        <v>56</v>
      </c>
      <c r="AG267" t="s">
        <v>199</v>
      </c>
    </row>
    <row r="269" spans="1:33" x14ac:dyDescent="0.3">
      <c r="A269" t="s">
        <v>1362</v>
      </c>
      <c r="B269">
        <f>COUNTA(_xlfn.UNIQUE(Table1[inv_invoice_no],FALSE,TRUE))</f>
        <v>266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DD04B-CA0A-451A-BFE5-D9BCC33CEC67}">
  <dimension ref="A2:K34"/>
  <sheetViews>
    <sheetView topLeftCell="A2" zoomScale="84" workbookViewId="0">
      <selection activeCell="C28" sqref="C28"/>
    </sheetView>
  </sheetViews>
  <sheetFormatPr defaultRowHeight="14.4" x14ac:dyDescent="0.3"/>
  <cols>
    <col min="1" max="1" width="12.33203125" bestFit="1" customWidth="1"/>
    <col min="2" max="2" width="16.6640625" bestFit="1" customWidth="1"/>
    <col min="4" max="4" width="16.88671875" bestFit="1" customWidth="1"/>
    <col min="5" max="5" width="16.6640625" bestFit="1" customWidth="1"/>
    <col min="7" max="7" width="25.44140625" bestFit="1" customWidth="1"/>
    <col min="8" max="8" width="16.6640625" bestFit="1" customWidth="1"/>
    <col min="10" max="10" width="23.33203125" bestFit="1" customWidth="1"/>
    <col min="11" max="11" width="15" customWidth="1"/>
  </cols>
  <sheetData>
    <row r="2" spans="1:11" x14ac:dyDescent="0.3">
      <c r="A2" s="31" t="s">
        <v>1339</v>
      </c>
      <c r="B2" s="31"/>
      <c r="D2" s="31" t="s">
        <v>1340</v>
      </c>
      <c r="E2" s="31"/>
      <c r="G2" s="31" t="s">
        <v>1342</v>
      </c>
      <c r="H2" s="31"/>
    </row>
    <row r="3" spans="1:11" x14ac:dyDescent="0.3">
      <c r="A3" s="4" t="s">
        <v>1341</v>
      </c>
      <c r="B3" t="s">
        <v>1338</v>
      </c>
      <c r="D3" s="4" t="s">
        <v>1340</v>
      </c>
      <c r="E3" t="s">
        <v>1338</v>
      </c>
      <c r="G3" s="4" t="s">
        <v>1344</v>
      </c>
      <c r="H3" t="s">
        <v>1338</v>
      </c>
    </row>
    <row r="4" spans="1:11" x14ac:dyDescent="0.3">
      <c r="A4" s="5" t="s">
        <v>187</v>
      </c>
      <c r="B4" s="34">
        <v>107939760</v>
      </c>
      <c r="D4" s="5" t="s">
        <v>70</v>
      </c>
      <c r="E4" s="34">
        <v>118606440</v>
      </c>
      <c r="G4" s="5" t="s">
        <v>733</v>
      </c>
      <c r="H4" s="36">
        <v>133770280</v>
      </c>
      <c r="J4" s="35"/>
      <c r="K4" s="37"/>
    </row>
    <row r="5" spans="1:11" x14ac:dyDescent="0.3">
      <c r="A5" s="5" t="s">
        <v>42</v>
      </c>
      <c r="B5" s="34">
        <v>41735010</v>
      </c>
      <c r="D5" s="5" t="s">
        <v>122</v>
      </c>
      <c r="E5" s="34">
        <v>19572390</v>
      </c>
      <c r="G5" s="5" t="s">
        <v>33</v>
      </c>
      <c r="H5" s="36">
        <v>32227160</v>
      </c>
    </row>
    <row r="6" spans="1:11" x14ac:dyDescent="0.3">
      <c r="A6" s="5" t="s">
        <v>117</v>
      </c>
      <c r="B6" s="34">
        <v>9643610</v>
      </c>
      <c r="D6" s="5" t="s">
        <v>94</v>
      </c>
      <c r="E6" s="34">
        <v>12755390</v>
      </c>
      <c r="G6" s="5" t="s">
        <v>1337</v>
      </c>
      <c r="H6" s="2">
        <v>165997440</v>
      </c>
    </row>
    <row r="7" spans="1:11" x14ac:dyDescent="0.3">
      <c r="A7" s="5" t="s">
        <v>253</v>
      </c>
      <c r="B7" s="34">
        <v>5476730</v>
      </c>
      <c r="D7" s="5" t="s">
        <v>48</v>
      </c>
      <c r="E7" s="34">
        <v>11459180</v>
      </c>
    </row>
    <row r="8" spans="1:11" x14ac:dyDescent="0.3">
      <c r="A8" s="5" t="s">
        <v>152</v>
      </c>
      <c r="B8" s="34">
        <v>1202330</v>
      </c>
      <c r="D8" s="5" t="s">
        <v>107</v>
      </c>
      <c r="E8" s="34">
        <v>3604040</v>
      </c>
    </row>
    <row r="9" spans="1:11" x14ac:dyDescent="0.3">
      <c r="A9" s="5" t="s">
        <v>1337</v>
      </c>
      <c r="B9" s="2">
        <v>165997440</v>
      </c>
      <c r="D9" s="5" t="s">
        <v>1337</v>
      </c>
      <c r="E9" s="2">
        <v>165997440</v>
      </c>
    </row>
    <row r="13" spans="1:11" x14ac:dyDescent="0.3">
      <c r="A13" s="31" t="s">
        <v>1343</v>
      </c>
      <c r="B13" s="31"/>
      <c r="D13" s="31" t="s">
        <v>1346</v>
      </c>
      <c r="E13" s="31"/>
      <c r="G13" s="31" t="s">
        <v>1347</v>
      </c>
      <c r="H13" s="31"/>
      <c r="J13" s="31" t="s">
        <v>1358</v>
      </c>
      <c r="K13" s="31"/>
    </row>
    <row r="14" spans="1:11" x14ac:dyDescent="0.3">
      <c r="A14" s="4" t="s">
        <v>1345</v>
      </c>
      <c r="B14" t="s">
        <v>1338</v>
      </c>
      <c r="D14" s="4" t="s">
        <v>1346</v>
      </c>
      <c r="E14" t="s">
        <v>1338</v>
      </c>
      <c r="G14" s="4" t="s">
        <v>1348</v>
      </c>
      <c r="H14" t="s">
        <v>1338</v>
      </c>
      <c r="J14" t="s">
        <v>1357</v>
      </c>
    </row>
    <row r="15" spans="1:11" x14ac:dyDescent="0.3">
      <c r="A15" s="5" t="s">
        <v>38</v>
      </c>
      <c r="B15" s="2">
        <v>132553220</v>
      </c>
      <c r="D15" s="5" t="s">
        <v>41</v>
      </c>
      <c r="E15" s="2">
        <v>142491670</v>
      </c>
      <c r="G15" s="5" t="s">
        <v>39</v>
      </c>
      <c r="H15" s="2">
        <v>110709900</v>
      </c>
      <c r="J15" s="32">
        <v>28830460</v>
      </c>
    </row>
    <row r="16" spans="1:11" x14ac:dyDescent="0.3">
      <c r="A16" s="5" t="s">
        <v>62</v>
      </c>
      <c r="B16" s="2">
        <v>19032300</v>
      </c>
      <c r="D16" s="5" t="s">
        <v>65</v>
      </c>
      <c r="E16" s="2">
        <v>15648960</v>
      </c>
      <c r="G16" s="5" t="s">
        <v>63</v>
      </c>
      <c r="H16" s="2">
        <v>35095520</v>
      </c>
    </row>
    <row r="17" spans="1:11" x14ac:dyDescent="0.3">
      <c r="A17" s="5" t="s">
        <v>138</v>
      </c>
      <c r="B17" s="2">
        <v>9236450</v>
      </c>
      <c r="D17" s="5" t="s">
        <v>194</v>
      </c>
      <c r="E17" s="2">
        <v>7856810</v>
      </c>
      <c r="G17" s="5" t="s">
        <v>163</v>
      </c>
      <c r="H17" s="2">
        <v>10459250</v>
      </c>
    </row>
    <row r="18" spans="1:11" x14ac:dyDescent="0.3">
      <c r="A18" s="5" t="s">
        <v>174</v>
      </c>
      <c r="B18" s="2">
        <v>3855810</v>
      </c>
      <c r="D18" s="5" t="s">
        <v>1337</v>
      </c>
      <c r="E18" s="2">
        <v>165997440</v>
      </c>
      <c r="G18" s="5" t="s">
        <v>175</v>
      </c>
      <c r="H18" s="2">
        <v>1493940</v>
      </c>
      <c r="J18" s="31" t="s">
        <v>1360</v>
      </c>
      <c r="K18" s="31"/>
    </row>
    <row r="19" spans="1:11" x14ac:dyDescent="0.3">
      <c r="A19" s="5" t="s">
        <v>150</v>
      </c>
      <c r="B19" s="2">
        <v>1319660</v>
      </c>
      <c r="G19" s="5" t="s">
        <v>185</v>
      </c>
      <c r="H19" s="2">
        <v>8238830</v>
      </c>
      <c r="J19" t="s">
        <v>1359</v>
      </c>
    </row>
    <row r="20" spans="1:11" x14ac:dyDescent="0.3">
      <c r="A20" s="5" t="s">
        <v>1337</v>
      </c>
      <c r="B20" s="2">
        <v>165997440</v>
      </c>
      <c r="G20" s="5" t="s">
        <v>1337</v>
      </c>
      <c r="H20" s="2">
        <v>165997440</v>
      </c>
      <c r="J20" s="32">
        <v>129011</v>
      </c>
    </row>
    <row r="23" spans="1:11" x14ac:dyDescent="0.3">
      <c r="A23" s="31" t="s">
        <v>1349</v>
      </c>
      <c r="B23" s="31"/>
      <c r="D23" s="31" t="s">
        <v>1351</v>
      </c>
      <c r="E23" s="31"/>
      <c r="G23" s="31" t="s">
        <v>1352</v>
      </c>
      <c r="H23" s="31"/>
      <c r="J23" s="31" t="s">
        <v>1360</v>
      </c>
      <c r="K23" s="31"/>
    </row>
    <row r="24" spans="1:11" x14ac:dyDescent="0.3">
      <c r="A24" s="4" t="s">
        <v>1350</v>
      </c>
      <c r="B24" t="s">
        <v>1338</v>
      </c>
      <c r="D24" s="4" t="s">
        <v>1354</v>
      </c>
      <c r="E24" t="s">
        <v>1338</v>
      </c>
      <c r="G24" s="4" t="s">
        <v>1353</v>
      </c>
      <c r="H24" t="s">
        <v>1338</v>
      </c>
      <c r="J24" t="s">
        <v>1361</v>
      </c>
    </row>
    <row r="25" spans="1:11" x14ac:dyDescent="0.3">
      <c r="A25" s="5" t="s">
        <v>782</v>
      </c>
      <c r="B25" s="2">
        <v>104118140</v>
      </c>
      <c r="D25" s="5" t="s">
        <v>218</v>
      </c>
      <c r="E25" s="2">
        <v>110518950</v>
      </c>
      <c r="G25" s="5" t="s">
        <v>46</v>
      </c>
      <c r="H25" s="2">
        <v>131463160</v>
      </c>
      <c r="J25" s="32">
        <v>266</v>
      </c>
    </row>
    <row r="26" spans="1:11" x14ac:dyDescent="0.3">
      <c r="A26" s="5" t="s">
        <v>449</v>
      </c>
      <c r="B26" s="2">
        <v>15000000</v>
      </c>
      <c r="D26" s="5" t="s">
        <v>199</v>
      </c>
      <c r="E26" s="2">
        <v>19356740</v>
      </c>
      <c r="G26" s="5" t="s">
        <v>338</v>
      </c>
      <c r="H26" s="2">
        <v>10644700</v>
      </c>
    </row>
    <row r="27" spans="1:11" x14ac:dyDescent="0.3">
      <c r="A27" s="5" t="s">
        <v>88</v>
      </c>
      <c r="B27" s="2">
        <v>6568130</v>
      </c>
      <c r="D27" s="5" t="s">
        <v>97</v>
      </c>
      <c r="E27" s="2">
        <v>16012200</v>
      </c>
      <c r="G27" s="5" t="s">
        <v>247</v>
      </c>
      <c r="H27" s="2">
        <v>6429850</v>
      </c>
    </row>
    <row r="28" spans="1:11" x14ac:dyDescent="0.3">
      <c r="A28" s="5" t="s">
        <v>552</v>
      </c>
      <c r="B28" s="2">
        <v>4695150</v>
      </c>
      <c r="D28" s="5" t="s">
        <v>158</v>
      </c>
      <c r="E28" s="2">
        <v>7654360</v>
      </c>
      <c r="G28" s="5" t="s">
        <v>276</v>
      </c>
      <c r="H28" s="2">
        <v>7300240</v>
      </c>
    </row>
    <row r="29" spans="1:11" x14ac:dyDescent="0.3">
      <c r="A29" s="5" t="s">
        <v>924</v>
      </c>
      <c r="B29" s="2">
        <v>3500000</v>
      </c>
      <c r="D29" s="5" t="s">
        <v>127</v>
      </c>
      <c r="E29" s="2">
        <v>4199310</v>
      </c>
      <c r="G29" s="5" t="s">
        <v>79</v>
      </c>
      <c r="H29" s="2">
        <v>10159490</v>
      </c>
    </row>
    <row r="30" spans="1:11" x14ac:dyDescent="0.3">
      <c r="A30" s="5" t="s">
        <v>1337</v>
      </c>
      <c r="B30" s="2">
        <v>133881420</v>
      </c>
      <c r="D30" s="5" t="s">
        <v>77</v>
      </c>
      <c r="E30" s="2">
        <v>3597000</v>
      </c>
      <c r="G30" s="5" t="s">
        <v>1337</v>
      </c>
      <c r="H30" s="2">
        <v>165997440</v>
      </c>
    </row>
    <row r="31" spans="1:11" x14ac:dyDescent="0.3">
      <c r="D31" s="5" t="s">
        <v>361</v>
      </c>
      <c r="E31" s="2">
        <v>2463360</v>
      </c>
    </row>
    <row r="32" spans="1:11" x14ac:dyDescent="0.3">
      <c r="D32" s="5" t="s">
        <v>57</v>
      </c>
      <c r="E32" s="2">
        <v>1869620</v>
      </c>
    </row>
    <row r="33" spans="4:5" x14ac:dyDescent="0.3">
      <c r="D33" s="5" t="s">
        <v>169</v>
      </c>
      <c r="E33" s="2">
        <v>325900</v>
      </c>
    </row>
    <row r="34" spans="4:5" x14ac:dyDescent="0.3">
      <c r="D34" s="5" t="s">
        <v>1337</v>
      </c>
      <c r="E34" s="2">
        <v>165997440</v>
      </c>
    </row>
  </sheetData>
  <mergeCells count="12">
    <mergeCell ref="A23:B23"/>
    <mergeCell ref="D23:E23"/>
    <mergeCell ref="G23:H23"/>
    <mergeCell ref="J13:K13"/>
    <mergeCell ref="J18:K18"/>
    <mergeCell ref="J23:K23"/>
    <mergeCell ref="A2:B2"/>
    <mergeCell ref="D2:E2"/>
    <mergeCell ref="G2:H2"/>
    <mergeCell ref="A13:B13"/>
    <mergeCell ref="D13:E13"/>
    <mergeCell ref="G13:H13"/>
  </mergeCells>
  <conditionalFormatting sqref="A3:B3 A5:A9">
    <cfRule type="dataBar" priority="16">
      <dataBar>
        <cfvo type="min"/>
        <cfvo type="max"/>
        <color rgb="FF638EC6"/>
      </dataBar>
      <extLst>
        <ext xmlns:x14="http://schemas.microsoft.com/office/spreadsheetml/2009/9/main" uri="{B025F937-C7B1-47D3-B67F-A62EFF666E3E}">
          <x14:id>{00C6DD23-CFCC-49B3-B74E-648791D6EACC}</x14:id>
        </ext>
      </extLst>
    </cfRule>
  </conditionalFormatting>
  <conditionalFormatting sqref="D3:E3 D5:D9">
    <cfRule type="dataBar" priority="12">
      <dataBar>
        <cfvo type="min"/>
        <cfvo type="max"/>
        <color rgb="FF638EC6"/>
      </dataBar>
      <extLst>
        <ext xmlns:x14="http://schemas.microsoft.com/office/spreadsheetml/2009/9/main" uri="{B025F937-C7B1-47D3-B67F-A62EFF666E3E}">
          <x14:id>{84180C07-041F-4637-9AFC-E5B6E7A2EA41}</x14:id>
        </ext>
      </extLst>
    </cfRule>
  </conditionalFormatting>
  <conditionalFormatting sqref="G3:H3">
    <cfRule type="dataBar" priority="10">
      <dataBar>
        <cfvo type="min"/>
        <cfvo type="max"/>
        <color rgb="FF638EC6"/>
      </dataBar>
      <extLst>
        <ext xmlns:x14="http://schemas.microsoft.com/office/spreadsheetml/2009/9/main" uri="{B025F937-C7B1-47D3-B67F-A62EFF666E3E}">
          <x14:id>{BFD1069F-9D5A-4C2E-9B81-F635B8037765}</x14:id>
        </ext>
      </extLst>
    </cfRule>
  </conditionalFormatting>
  <conditionalFormatting sqref="A14:B14">
    <cfRule type="dataBar" priority="9">
      <dataBar>
        <cfvo type="min"/>
        <cfvo type="max"/>
        <color rgb="FF638EC6"/>
      </dataBar>
      <extLst>
        <ext xmlns:x14="http://schemas.microsoft.com/office/spreadsheetml/2009/9/main" uri="{B025F937-C7B1-47D3-B67F-A62EFF666E3E}">
          <x14:id>{EAA488AB-CB54-4D02-83DB-6EDD5217E8E0}</x14:id>
        </ext>
      </extLst>
    </cfRule>
  </conditionalFormatting>
  <conditionalFormatting sqref="D14:E14">
    <cfRule type="dataBar" priority="8">
      <dataBar>
        <cfvo type="min"/>
        <cfvo type="max"/>
        <color rgb="FF638EC6"/>
      </dataBar>
      <extLst>
        <ext xmlns:x14="http://schemas.microsoft.com/office/spreadsheetml/2009/9/main" uri="{B025F937-C7B1-47D3-B67F-A62EFF666E3E}">
          <x14:id>{D1CBE232-59B4-43EA-954D-4375574FFEF0}</x14:id>
        </ext>
      </extLst>
    </cfRule>
  </conditionalFormatting>
  <conditionalFormatting sqref="G14:H14">
    <cfRule type="dataBar" priority="7">
      <dataBar>
        <cfvo type="min"/>
        <cfvo type="max"/>
        <color rgb="FF638EC6"/>
      </dataBar>
      <extLst>
        <ext xmlns:x14="http://schemas.microsoft.com/office/spreadsheetml/2009/9/main" uri="{B025F937-C7B1-47D3-B67F-A62EFF666E3E}">
          <x14:id>{F92953E3-4E94-4180-970D-67DB1D038766}</x14:id>
        </ext>
      </extLst>
    </cfRule>
  </conditionalFormatting>
  <conditionalFormatting sqref="A24:B24">
    <cfRule type="dataBar" priority="6">
      <dataBar>
        <cfvo type="min"/>
        <cfvo type="max"/>
        <color rgb="FF638EC6"/>
      </dataBar>
      <extLst>
        <ext xmlns:x14="http://schemas.microsoft.com/office/spreadsheetml/2009/9/main" uri="{B025F937-C7B1-47D3-B67F-A62EFF666E3E}">
          <x14:id>{5A673F96-83F1-4D26-B728-DC9A7CEF0FFF}</x14:id>
        </ext>
      </extLst>
    </cfRule>
  </conditionalFormatting>
  <conditionalFormatting sqref="D24:E24">
    <cfRule type="dataBar" priority="5">
      <dataBar>
        <cfvo type="min"/>
        <cfvo type="max"/>
        <color rgb="FF638EC6"/>
      </dataBar>
      <extLst>
        <ext xmlns:x14="http://schemas.microsoft.com/office/spreadsheetml/2009/9/main" uri="{B025F937-C7B1-47D3-B67F-A62EFF666E3E}">
          <x14:id>{78866D13-D9D4-42C8-93A2-22519F090699}</x14:id>
        </ext>
      </extLst>
    </cfRule>
  </conditionalFormatting>
  <conditionalFormatting sqref="G24:H24">
    <cfRule type="dataBar" priority="4">
      <dataBar>
        <cfvo type="min"/>
        <cfvo type="max"/>
        <color rgb="FF638EC6"/>
      </dataBar>
      <extLst>
        <ext xmlns:x14="http://schemas.microsoft.com/office/spreadsheetml/2009/9/main" uri="{B025F937-C7B1-47D3-B67F-A62EFF666E3E}">
          <x14:id>{FFD2238C-2788-4BF7-972C-1D57E3CD12B3}</x14:id>
        </ext>
      </extLst>
    </cfRule>
  </conditionalFormatting>
  <conditionalFormatting sqref="J14:K14">
    <cfRule type="dataBar" priority="3">
      <dataBar>
        <cfvo type="min"/>
        <cfvo type="max"/>
        <color rgb="FF638EC6"/>
      </dataBar>
      <extLst>
        <ext xmlns:x14="http://schemas.microsoft.com/office/spreadsheetml/2009/9/main" uri="{B025F937-C7B1-47D3-B67F-A62EFF666E3E}">
          <x14:id>{8D0FC116-01B8-45EB-BCB6-526A6BB1F670}</x14:id>
        </ext>
      </extLst>
    </cfRule>
  </conditionalFormatting>
  <conditionalFormatting sqref="J19:K19">
    <cfRule type="dataBar" priority="2">
      <dataBar>
        <cfvo type="min"/>
        <cfvo type="max"/>
        <color rgb="FF638EC6"/>
      </dataBar>
      <extLst>
        <ext xmlns:x14="http://schemas.microsoft.com/office/spreadsheetml/2009/9/main" uri="{B025F937-C7B1-47D3-B67F-A62EFF666E3E}">
          <x14:id>{CF06AED1-E5D8-4C93-9350-E108F6B6E568}</x14:id>
        </ext>
      </extLst>
    </cfRule>
  </conditionalFormatting>
  <conditionalFormatting sqref="J24:K24">
    <cfRule type="dataBar" priority="1">
      <dataBar>
        <cfvo type="min"/>
        <cfvo type="max"/>
        <color rgb="FF638EC6"/>
      </dataBar>
      <extLst>
        <ext xmlns:x14="http://schemas.microsoft.com/office/spreadsheetml/2009/9/main" uri="{B025F937-C7B1-47D3-B67F-A62EFF666E3E}">
          <x14:id>{A7EA3D33-A709-41FB-990B-94832B68B654}</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0C6DD23-CFCC-49B3-B74E-648791D6EACC}">
            <x14:dataBar minLength="0" maxLength="100" border="1" negativeBarBorderColorSameAsPositive="0">
              <x14:cfvo type="autoMin"/>
              <x14:cfvo type="autoMax"/>
              <x14:borderColor rgb="FF638EC6"/>
              <x14:negativeFillColor rgb="FFFF0000"/>
              <x14:negativeBorderColor rgb="FFFF0000"/>
              <x14:axisColor rgb="FF000000"/>
            </x14:dataBar>
          </x14:cfRule>
          <xm:sqref>A3:B3 A5:A9</xm:sqref>
        </x14:conditionalFormatting>
        <x14:conditionalFormatting xmlns:xm="http://schemas.microsoft.com/office/excel/2006/main">
          <x14:cfRule type="dataBar" id="{84180C07-041F-4637-9AFC-E5B6E7A2EA41}">
            <x14:dataBar minLength="0" maxLength="100" border="1" negativeBarBorderColorSameAsPositive="0">
              <x14:cfvo type="autoMin"/>
              <x14:cfvo type="autoMax"/>
              <x14:borderColor rgb="FF638EC6"/>
              <x14:negativeFillColor rgb="FFFF0000"/>
              <x14:negativeBorderColor rgb="FFFF0000"/>
              <x14:axisColor rgb="FF000000"/>
            </x14:dataBar>
          </x14:cfRule>
          <xm:sqref>D3:E3 D5:D9</xm:sqref>
        </x14:conditionalFormatting>
        <x14:conditionalFormatting xmlns:xm="http://schemas.microsoft.com/office/excel/2006/main">
          <x14:cfRule type="dataBar" id="{BFD1069F-9D5A-4C2E-9B81-F635B8037765}">
            <x14:dataBar minLength="0" maxLength="100" border="1" negativeBarBorderColorSameAsPositive="0">
              <x14:cfvo type="autoMin"/>
              <x14:cfvo type="autoMax"/>
              <x14:borderColor rgb="FF638EC6"/>
              <x14:negativeFillColor rgb="FFFF0000"/>
              <x14:negativeBorderColor rgb="FFFF0000"/>
              <x14:axisColor rgb="FF000000"/>
            </x14:dataBar>
          </x14:cfRule>
          <xm:sqref>G3:H3</xm:sqref>
        </x14:conditionalFormatting>
        <x14:conditionalFormatting xmlns:xm="http://schemas.microsoft.com/office/excel/2006/main">
          <x14:cfRule type="dataBar" id="{EAA488AB-CB54-4D02-83DB-6EDD5217E8E0}">
            <x14:dataBar minLength="0" maxLength="100" border="1" negativeBarBorderColorSameAsPositive="0">
              <x14:cfvo type="autoMin"/>
              <x14:cfvo type="autoMax"/>
              <x14:borderColor rgb="FF638EC6"/>
              <x14:negativeFillColor rgb="FFFF0000"/>
              <x14:negativeBorderColor rgb="FFFF0000"/>
              <x14:axisColor rgb="FF000000"/>
            </x14:dataBar>
          </x14:cfRule>
          <xm:sqref>A14:B14</xm:sqref>
        </x14:conditionalFormatting>
        <x14:conditionalFormatting xmlns:xm="http://schemas.microsoft.com/office/excel/2006/main">
          <x14:cfRule type="dataBar" id="{D1CBE232-59B4-43EA-954D-4375574FFEF0}">
            <x14:dataBar minLength="0" maxLength="100" border="1" negativeBarBorderColorSameAsPositive="0">
              <x14:cfvo type="autoMin"/>
              <x14:cfvo type="autoMax"/>
              <x14:borderColor rgb="FF638EC6"/>
              <x14:negativeFillColor rgb="FFFF0000"/>
              <x14:negativeBorderColor rgb="FFFF0000"/>
              <x14:axisColor rgb="FF000000"/>
            </x14:dataBar>
          </x14:cfRule>
          <xm:sqref>D14:E14</xm:sqref>
        </x14:conditionalFormatting>
        <x14:conditionalFormatting xmlns:xm="http://schemas.microsoft.com/office/excel/2006/main">
          <x14:cfRule type="dataBar" id="{F92953E3-4E94-4180-970D-67DB1D038766}">
            <x14:dataBar minLength="0" maxLength="100" border="1" negativeBarBorderColorSameAsPositive="0">
              <x14:cfvo type="autoMin"/>
              <x14:cfvo type="autoMax"/>
              <x14:borderColor rgb="FF638EC6"/>
              <x14:negativeFillColor rgb="FFFF0000"/>
              <x14:negativeBorderColor rgb="FFFF0000"/>
              <x14:axisColor rgb="FF000000"/>
            </x14:dataBar>
          </x14:cfRule>
          <xm:sqref>G14:H14</xm:sqref>
        </x14:conditionalFormatting>
        <x14:conditionalFormatting xmlns:xm="http://schemas.microsoft.com/office/excel/2006/main">
          <x14:cfRule type="dataBar" id="{5A673F96-83F1-4D26-B728-DC9A7CEF0FFF}">
            <x14:dataBar minLength="0" maxLength="100" border="1" negativeBarBorderColorSameAsPositive="0">
              <x14:cfvo type="autoMin"/>
              <x14:cfvo type="autoMax"/>
              <x14:borderColor rgb="FF638EC6"/>
              <x14:negativeFillColor rgb="FFFF0000"/>
              <x14:negativeBorderColor rgb="FFFF0000"/>
              <x14:axisColor rgb="FF000000"/>
            </x14:dataBar>
          </x14:cfRule>
          <xm:sqref>A24:B24</xm:sqref>
        </x14:conditionalFormatting>
        <x14:conditionalFormatting xmlns:xm="http://schemas.microsoft.com/office/excel/2006/main">
          <x14:cfRule type="dataBar" id="{78866D13-D9D4-42C8-93A2-22519F090699}">
            <x14:dataBar minLength="0" maxLength="100" border="1" negativeBarBorderColorSameAsPositive="0">
              <x14:cfvo type="autoMin"/>
              <x14:cfvo type="autoMax"/>
              <x14:borderColor rgb="FF638EC6"/>
              <x14:negativeFillColor rgb="FFFF0000"/>
              <x14:negativeBorderColor rgb="FFFF0000"/>
              <x14:axisColor rgb="FF000000"/>
            </x14:dataBar>
          </x14:cfRule>
          <xm:sqref>D24:E24</xm:sqref>
        </x14:conditionalFormatting>
        <x14:conditionalFormatting xmlns:xm="http://schemas.microsoft.com/office/excel/2006/main">
          <x14:cfRule type="dataBar" id="{FFD2238C-2788-4BF7-972C-1D57E3CD12B3}">
            <x14:dataBar minLength="0" maxLength="100" border="1" negativeBarBorderColorSameAsPositive="0">
              <x14:cfvo type="autoMin"/>
              <x14:cfvo type="autoMax"/>
              <x14:borderColor rgb="FF638EC6"/>
              <x14:negativeFillColor rgb="FFFF0000"/>
              <x14:negativeBorderColor rgb="FFFF0000"/>
              <x14:axisColor rgb="FF000000"/>
            </x14:dataBar>
          </x14:cfRule>
          <xm:sqref>G24:H24</xm:sqref>
        </x14:conditionalFormatting>
        <x14:conditionalFormatting xmlns:xm="http://schemas.microsoft.com/office/excel/2006/main">
          <x14:cfRule type="dataBar" id="{8D0FC116-01B8-45EB-BCB6-526A6BB1F670}">
            <x14:dataBar minLength="0" maxLength="100" border="1" negativeBarBorderColorSameAsPositive="0">
              <x14:cfvo type="autoMin"/>
              <x14:cfvo type="autoMax"/>
              <x14:borderColor rgb="FF638EC6"/>
              <x14:negativeFillColor rgb="FFFF0000"/>
              <x14:negativeBorderColor rgb="FFFF0000"/>
              <x14:axisColor rgb="FF000000"/>
            </x14:dataBar>
          </x14:cfRule>
          <xm:sqref>J14:K14</xm:sqref>
        </x14:conditionalFormatting>
        <x14:conditionalFormatting xmlns:xm="http://schemas.microsoft.com/office/excel/2006/main">
          <x14:cfRule type="dataBar" id="{CF06AED1-E5D8-4C93-9350-E108F6B6E568}">
            <x14:dataBar minLength="0" maxLength="100" border="1" negativeBarBorderColorSameAsPositive="0">
              <x14:cfvo type="autoMin"/>
              <x14:cfvo type="autoMax"/>
              <x14:borderColor rgb="FF638EC6"/>
              <x14:negativeFillColor rgb="FFFF0000"/>
              <x14:negativeBorderColor rgb="FFFF0000"/>
              <x14:axisColor rgb="FF000000"/>
            </x14:dataBar>
          </x14:cfRule>
          <xm:sqref>J19:K19</xm:sqref>
        </x14:conditionalFormatting>
        <x14:conditionalFormatting xmlns:xm="http://schemas.microsoft.com/office/excel/2006/main">
          <x14:cfRule type="dataBar" id="{A7EA3D33-A709-41FB-990B-94832B68B654}">
            <x14:dataBar minLength="0" maxLength="100" border="1" negativeBarBorderColorSameAsPositive="0">
              <x14:cfvo type="autoMin"/>
              <x14:cfvo type="autoMax"/>
              <x14:borderColor rgb="FF638EC6"/>
              <x14:negativeFillColor rgb="FFFF0000"/>
              <x14:negativeBorderColor rgb="FFFF0000"/>
              <x14:axisColor rgb="FF000000"/>
            </x14:dataBar>
          </x14:cfRule>
          <xm:sqref>J24:K24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ABE11-B89D-48C6-8852-C9CBD59FDC81}">
  <dimension ref="B1:R76"/>
  <sheetViews>
    <sheetView showGridLines="0" topLeftCell="B1" zoomScale="82" zoomScaleNormal="53" workbookViewId="0">
      <selection activeCell="L30" sqref="L30"/>
    </sheetView>
  </sheetViews>
  <sheetFormatPr defaultRowHeight="14.4" x14ac:dyDescent="0.3"/>
  <cols>
    <col min="3" max="4" width="12" customWidth="1"/>
    <col min="5" max="5" width="16.109375" customWidth="1"/>
    <col min="6" max="6" width="12" customWidth="1"/>
    <col min="7" max="7" width="15.6640625" customWidth="1"/>
    <col min="8" max="8" width="12" customWidth="1"/>
    <col min="9" max="9" width="14.109375" customWidth="1"/>
    <col min="10" max="11" width="12" customWidth="1"/>
    <col min="12" max="12" width="17.109375" customWidth="1"/>
    <col min="13" max="13" width="15.88671875" customWidth="1"/>
    <col min="14" max="14" width="14.6640625" customWidth="1"/>
    <col min="15" max="15" width="18.5546875" customWidth="1"/>
    <col min="16" max="16" width="46.88671875" customWidth="1"/>
    <col min="17" max="17" width="7.33203125" customWidth="1"/>
    <col min="18" max="18" width="6.33203125" customWidth="1"/>
  </cols>
  <sheetData>
    <row r="1" spans="2:18" ht="15" thickBot="1" x14ac:dyDescent="0.35">
      <c r="B1" s="7"/>
      <c r="C1" s="8"/>
      <c r="D1" s="8"/>
      <c r="E1" s="8"/>
      <c r="F1" s="8"/>
      <c r="G1" s="8"/>
      <c r="H1" s="8"/>
      <c r="I1" s="8"/>
      <c r="J1" s="8"/>
      <c r="K1" s="8"/>
      <c r="L1" s="8"/>
      <c r="M1" s="8"/>
      <c r="N1" s="8"/>
      <c r="O1" s="8"/>
      <c r="P1" s="8"/>
      <c r="Q1" s="8"/>
      <c r="R1" s="9"/>
    </row>
    <row r="2" spans="2:18" ht="24.6" customHeight="1" thickBot="1" x14ac:dyDescent="0.45">
      <c r="B2" s="10"/>
      <c r="C2" s="15" t="s">
        <v>1355</v>
      </c>
      <c r="D2" s="16"/>
      <c r="E2" s="16"/>
      <c r="F2" s="16"/>
      <c r="G2" s="16"/>
      <c r="H2" s="16"/>
      <c r="I2" s="16"/>
      <c r="J2" s="16"/>
      <c r="K2" s="16"/>
      <c r="L2" s="16"/>
      <c r="M2" s="17"/>
      <c r="O2" s="6" t="s">
        <v>1353</v>
      </c>
      <c r="P2" s="6" t="s">
        <v>1338</v>
      </c>
      <c r="R2" s="11"/>
    </row>
    <row r="3" spans="2:18" ht="15" thickBot="1" x14ac:dyDescent="0.35">
      <c r="B3" s="10"/>
      <c r="O3" s="5" t="s">
        <v>46</v>
      </c>
      <c r="P3" s="2">
        <v>151157140</v>
      </c>
      <c r="R3" s="11"/>
    </row>
    <row r="4" spans="2:18" ht="15.6" customHeight="1" x14ac:dyDescent="0.3">
      <c r="B4" s="10"/>
      <c r="C4" s="23" t="s">
        <v>1356</v>
      </c>
      <c r="D4" s="24"/>
      <c r="F4" s="23" t="s">
        <v>1358</v>
      </c>
      <c r="G4" s="24"/>
      <c r="I4" s="23" t="s">
        <v>1358</v>
      </c>
      <c r="J4" s="24"/>
      <c r="L4" s="23" t="s">
        <v>1363</v>
      </c>
      <c r="M4" s="24"/>
      <c r="O4" s="5" t="s">
        <v>338</v>
      </c>
      <c r="P4" s="2">
        <v>14903470</v>
      </c>
      <c r="R4" s="11"/>
    </row>
    <row r="5" spans="2:18" ht="15.6" customHeight="1" x14ac:dyDescent="0.3">
      <c r="B5" s="10"/>
      <c r="C5" s="25"/>
      <c r="D5" s="26"/>
      <c r="F5" s="25"/>
      <c r="G5" s="26"/>
      <c r="I5" s="25"/>
      <c r="J5" s="26"/>
      <c r="L5" s="25"/>
      <c r="M5" s="26"/>
      <c r="O5" s="5" t="s">
        <v>247</v>
      </c>
      <c r="P5" s="2">
        <v>11184170</v>
      </c>
      <c r="R5" s="11"/>
    </row>
    <row r="6" spans="2:18" x14ac:dyDescent="0.3">
      <c r="B6" s="10"/>
      <c r="C6" s="19" t="str">
        <f>ROUND(GETPIVOTDATA("Sales",'Data analysis'!$A$14)/10000000,2)&amp;"Cr"</f>
        <v>16.6Cr</v>
      </c>
      <c r="D6" s="20"/>
      <c r="F6" s="19" t="str">
        <f>ROUND(GETPIVOTDATA("GST Amount",'Data analysis'!$J$14)/10000000,2)&amp;"Cr"</f>
        <v>2.88Cr</v>
      </c>
      <c r="G6" s="20"/>
      <c r="I6" s="27">
        <f>GETPIVOTDATA("Quantity",'Data analysis'!$J$19)</f>
        <v>129011</v>
      </c>
      <c r="J6" s="28"/>
      <c r="L6" s="27">
        <f>'sales analysis'!B269</f>
        <v>266</v>
      </c>
      <c r="M6" s="28"/>
      <c r="O6" s="5" t="s">
        <v>276</v>
      </c>
      <c r="P6" s="2">
        <v>10199610</v>
      </c>
      <c r="R6" s="11"/>
    </row>
    <row r="7" spans="2:18" x14ac:dyDescent="0.3">
      <c r="B7" s="10"/>
      <c r="C7" s="19"/>
      <c r="D7" s="20"/>
      <c r="F7" s="19"/>
      <c r="G7" s="20"/>
      <c r="I7" s="27"/>
      <c r="J7" s="28"/>
      <c r="L7" s="27"/>
      <c r="M7" s="28"/>
      <c r="O7" s="5" t="s">
        <v>79</v>
      </c>
      <c r="P7" s="2">
        <v>21442230</v>
      </c>
      <c r="R7" s="11"/>
    </row>
    <row r="8" spans="2:18" ht="15" thickBot="1" x14ac:dyDescent="0.35">
      <c r="B8" s="10"/>
      <c r="C8" s="21"/>
      <c r="D8" s="22"/>
      <c r="F8" s="21"/>
      <c r="G8" s="22"/>
      <c r="I8" s="29"/>
      <c r="J8" s="30"/>
      <c r="L8" s="29"/>
      <c r="M8" s="30"/>
      <c r="R8" s="11"/>
    </row>
    <row r="9" spans="2:18" x14ac:dyDescent="0.3">
      <c r="B9" s="10"/>
      <c r="R9" s="11"/>
    </row>
    <row r="10" spans="2:18" x14ac:dyDescent="0.3">
      <c r="B10" s="10"/>
      <c r="O10" s="6" t="s">
        <v>1348</v>
      </c>
      <c r="P10" s="6" t="s">
        <v>1338</v>
      </c>
      <c r="R10" s="11"/>
    </row>
    <row r="11" spans="2:18" x14ac:dyDescent="0.3">
      <c r="B11" s="10"/>
      <c r="C11" s="18" t="s">
        <v>1364</v>
      </c>
      <c r="D11" s="18"/>
      <c r="E11" s="18"/>
      <c r="F11" s="18"/>
      <c r="G11" s="18"/>
      <c r="O11" s="5" t="s">
        <v>39</v>
      </c>
      <c r="P11" s="2">
        <v>112006920</v>
      </c>
      <c r="R11" s="11"/>
    </row>
    <row r="12" spans="2:18" x14ac:dyDescent="0.3">
      <c r="B12" s="10"/>
      <c r="O12" s="5" t="s">
        <v>63</v>
      </c>
      <c r="P12" s="2">
        <v>59426440</v>
      </c>
      <c r="R12" s="11"/>
    </row>
    <row r="13" spans="2:18" x14ac:dyDescent="0.3">
      <c r="B13" s="10"/>
      <c r="O13" s="5" t="s">
        <v>163</v>
      </c>
      <c r="P13" s="2">
        <v>16624260</v>
      </c>
      <c r="R13" s="11"/>
    </row>
    <row r="14" spans="2:18" x14ac:dyDescent="0.3">
      <c r="B14" s="10"/>
      <c r="O14" s="5" t="s">
        <v>175</v>
      </c>
      <c r="P14" s="2">
        <v>1771340</v>
      </c>
      <c r="R14" s="11"/>
    </row>
    <row r="15" spans="2:18" x14ac:dyDescent="0.3">
      <c r="B15" s="10"/>
      <c r="O15" s="5" t="s">
        <v>185</v>
      </c>
      <c r="P15" s="2">
        <v>19057660</v>
      </c>
      <c r="R15" s="11"/>
    </row>
    <row r="16" spans="2:18" x14ac:dyDescent="0.3">
      <c r="B16" s="10"/>
      <c r="R16" s="11"/>
    </row>
    <row r="17" spans="2:18" x14ac:dyDescent="0.3">
      <c r="B17" s="10"/>
      <c r="R17" s="11"/>
    </row>
    <row r="18" spans="2:18" x14ac:dyDescent="0.3">
      <c r="B18" s="10"/>
      <c r="R18" s="11"/>
    </row>
    <row r="19" spans="2:18" x14ac:dyDescent="0.3">
      <c r="B19" s="10"/>
      <c r="R19" s="11"/>
    </row>
    <row r="20" spans="2:18" x14ac:dyDescent="0.3">
      <c r="B20" s="10"/>
      <c r="R20" s="11"/>
    </row>
    <row r="21" spans="2:18" x14ac:dyDescent="0.3">
      <c r="B21" s="10"/>
      <c r="R21" s="11"/>
    </row>
    <row r="22" spans="2:18" x14ac:dyDescent="0.3">
      <c r="B22" s="10"/>
      <c r="R22" s="11"/>
    </row>
    <row r="23" spans="2:18" x14ac:dyDescent="0.3">
      <c r="B23" s="10"/>
      <c r="R23" s="11"/>
    </row>
    <row r="24" spans="2:18" x14ac:dyDescent="0.3">
      <c r="B24" s="10"/>
      <c r="R24" s="11"/>
    </row>
    <row r="25" spans="2:18" x14ac:dyDescent="0.3">
      <c r="B25" s="10"/>
      <c r="R25" s="11"/>
    </row>
    <row r="26" spans="2:18" x14ac:dyDescent="0.3">
      <c r="B26" s="10"/>
      <c r="R26" s="11"/>
    </row>
    <row r="27" spans="2:18" x14ac:dyDescent="0.3">
      <c r="B27" s="10"/>
      <c r="R27" s="11"/>
    </row>
    <row r="28" spans="2:18" x14ac:dyDescent="0.3">
      <c r="B28" s="10"/>
      <c r="R28" s="11"/>
    </row>
    <row r="29" spans="2:18" x14ac:dyDescent="0.3">
      <c r="B29" s="10"/>
      <c r="R29" s="11"/>
    </row>
    <row r="30" spans="2:18" x14ac:dyDescent="0.3">
      <c r="B30" s="10"/>
      <c r="R30" s="11"/>
    </row>
    <row r="31" spans="2:18" x14ac:dyDescent="0.3">
      <c r="B31" s="10"/>
      <c r="R31" s="11"/>
    </row>
    <row r="32" spans="2:18" x14ac:dyDescent="0.3">
      <c r="B32" s="10"/>
      <c r="R32" s="11"/>
    </row>
    <row r="33" spans="2:18" x14ac:dyDescent="0.3">
      <c r="B33" s="10"/>
      <c r="R33" s="11"/>
    </row>
    <row r="34" spans="2:18" x14ac:dyDescent="0.3">
      <c r="B34" s="10"/>
      <c r="R34" s="11"/>
    </row>
    <row r="35" spans="2:18" x14ac:dyDescent="0.3">
      <c r="B35" s="10"/>
      <c r="R35" s="11"/>
    </row>
    <row r="36" spans="2:18" x14ac:dyDescent="0.3">
      <c r="B36" s="10"/>
      <c r="R36" s="11"/>
    </row>
    <row r="37" spans="2:18" x14ac:dyDescent="0.3">
      <c r="B37" s="10"/>
      <c r="R37" s="11"/>
    </row>
    <row r="38" spans="2:18" x14ac:dyDescent="0.3">
      <c r="B38" s="10"/>
      <c r="R38" s="11"/>
    </row>
    <row r="39" spans="2:18" x14ac:dyDescent="0.3">
      <c r="B39" s="10"/>
      <c r="R39" s="11"/>
    </row>
    <row r="40" spans="2:18" x14ac:dyDescent="0.3">
      <c r="B40" s="10"/>
      <c r="R40" s="11"/>
    </row>
    <row r="41" spans="2:18" x14ac:dyDescent="0.3">
      <c r="B41" s="10"/>
      <c r="R41" s="11"/>
    </row>
    <row r="42" spans="2:18" x14ac:dyDescent="0.3">
      <c r="B42" s="10"/>
      <c r="R42" s="11"/>
    </row>
    <row r="43" spans="2:18" x14ac:dyDescent="0.3">
      <c r="B43" s="10"/>
      <c r="R43" s="11"/>
    </row>
    <row r="44" spans="2:18" x14ac:dyDescent="0.3">
      <c r="B44" s="10"/>
      <c r="R44" s="11"/>
    </row>
    <row r="45" spans="2:18" x14ac:dyDescent="0.3">
      <c r="B45" s="10"/>
      <c r="R45" s="11"/>
    </row>
    <row r="46" spans="2:18" x14ac:dyDescent="0.3">
      <c r="B46" s="10"/>
      <c r="R46" s="11"/>
    </row>
    <row r="47" spans="2:18" x14ac:dyDescent="0.3">
      <c r="B47" s="10"/>
      <c r="R47" s="11"/>
    </row>
    <row r="48" spans="2:18" x14ac:dyDescent="0.3">
      <c r="B48" s="10"/>
      <c r="R48" s="11"/>
    </row>
    <row r="49" spans="2:18" x14ac:dyDescent="0.3">
      <c r="B49" s="10"/>
      <c r="R49" s="11"/>
    </row>
    <row r="50" spans="2:18" x14ac:dyDescent="0.3">
      <c r="B50" s="10"/>
      <c r="R50" s="11"/>
    </row>
    <row r="51" spans="2:18" x14ac:dyDescent="0.3">
      <c r="B51" s="10"/>
      <c r="R51" s="11"/>
    </row>
    <row r="52" spans="2:18" x14ac:dyDescent="0.3">
      <c r="B52" s="10"/>
      <c r="R52" s="11"/>
    </row>
    <row r="53" spans="2:18" x14ac:dyDescent="0.3">
      <c r="B53" s="10"/>
      <c r="R53" s="11"/>
    </row>
    <row r="54" spans="2:18" x14ac:dyDescent="0.3">
      <c r="B54" s="10"/>
      <c r="R54" s="11"/>
    </row>
    <row r="55" spans="2:18" x14ac:dyDescent="0.3">
      <c r="B55" s="10"/>
      <c r="R55" s="11"/>
    </row>
    <row r="56" spans="2:18" x14ac:dyDescent="0.3">
      <c r="B56" s="10"/>
      <c r="R56" s="11"/>
    </row>
    <row r="57" spans="2:18" x14ac:dyDescent="0.3">
      <c r="B57" s="10"/>
      <c r="R57" s="11"/>
    </row>
    <row r="58" spans="2:18" x14ac:dyDescent="0.3">
      <c r="B58" s="10"/>
      <c r="R58" s="11"/>
    </row>
    <row r="59" spans="2:18" x14ac:dyDescent="0.3">
      <c r="B59" s="10"/>
      <c r="R59" s="11"/>
    </row>
    <row r="60" spans="2:18" x14ac:dyDescent="0.3">
      <c r="B60" s="10"/>
      <c r="R60" s="11"/>
    </row>
    <row r="61" spans="2:18" x14ac:dyDescent="0.3">
      <c r="B61" s="10"/>
      <c r="R61" s="11"/>
    </row>
    <row r="62" spans="2:18" x14ac:dyDescent="0.3">
      <c r="B62" s="10"/>
      <c r="R62" s="11"/>
    </row>
    <row r="63" spans="2:18" x14ac:dyDescent="0.3">
      <c r="B63" s="10"/>
      <c r="R63" s="11"/>
    </row>
    <row r="64" spans="2:18" x14ac:dyDescent="0.3">
      <c r="B64" s="10"/>
      <c r="R64" s="11"/>
    </row>
    <row r="65" spans="2:18" x14ac:dyDescent="0.3">
      <c r="B65" s="10"/>
      <c r="R65" s="11"/>
    </row>
    <row r="66" spans="2:18" x14ac:dyDescent="0.3">
      <c r="B66" s="10"/>
      <c r="R66" s="11"/>
    </row>
    <row r="67" spans="2:18" x14ac:dyDescent="0.3">
      <c r="B67" s="10"/>
      <c r="R67" s="11"/>
    </row>
    <row r="68" spans="2:18" x14ac:dyDescent="0.3">
      <c r="B68" s="10"/>
      <c r="R68" s="11"/>
    </row>
    <row r="69" spans="2:18" x14ac:dyDescent="0.3">
      <c r="B69" s="10"/>
      <c r="R69" s="11"/>
    </row>
    <row r="70" spans="2:18" x14ac:dyDescent="0.3">
      <c r="B70" s="10"/>
      <c r="R70" s="11"/>
    </row>
    <row r="71" spans="2:18" x14ac:dyDescent="0.3">
      <c r="B71" s="10"/>
      <c r="R71" s="11"/>
    </row>
    <row r="72" spans="2:18" x14ac:dyDescent="0.3">
      <c r="B72" s="10"/>
      <c r="R72" s="11"/>
    </row>
    <row r="73" spans="2:18" x14ac:dyDescent="0.3">
      <c r="B73" s="10"/>
      <c r="R73" s="11"/>
    </row>
    <row r="74" spans="2:18" x14ac:dyDescent="0.3">
      <c r="B74" s="10"/>
      <c r="R74" s="11"/>
    </row>
    <row r="75" spans="2:18" x14ac:dyDescent="0.3">
      <c r="B75" s="10"/>
      <c r="R75" s="11"/>
    </row>
    <row r="76" spans="2:18" ht="15" thickBot="1" x14ac:dyDescent="0.35">
      <c r="B76" s="12"/>
      <c r="C76" s="13"/>
      <c r="D76" s="13"/>
      <c r="E76" s="13"/>
      <c r="F76" s="13"/>
      <c r="G76" s="13"/>
      <c r="H76" s="13"/>
      <c r="I76" s="13"/>
      <c r="J76" s="13"/>
      <c r="K76" s="13"/>
      <c r="L76" s="13"/>
      <c r="M76" s="13"/>
      <c r="N76" s="13"/>
      <c r="O76" s="13"/>
      <c r="P76" s="13"/>
      <c r="Q76" s="13"/>
      <c r="R76" s="14"/>
    </row>
  </sheetData>
  <mergeCells count="10">
    <mergeCell ref="C2:M2"/>
    <mergeCell ref="C11:G11"/>
    <mergeCell ref="C6:D8"/>
    <mergeCell ref="C4:D5"/>
    <mergeCell ref="F4:G5"/>
    <mergeCell ref="F6:G8"/>
    <mergeCell ref="I4:J5"/>
    <mergeCell ref="I6:J8"/>
    <mergeCell ref="L4:M5"/>
    <mergeCell ref="L6:M8"/>
  </mergeCells>
  <phoneticPr fontId="22" type="noConversion"/>
  <conditionalFormatting sqref="O2:P2">
    <cfRule type="dataBar" priority="4">
      <dataBar>
        <cfvo type="min"/>
        <cfvo type="max"/>
        <color rgb="FF638EC6"/>
      </dataBar>
      <extLst>
        <ext xmlns:x14="http://schemas.microsoft.com/office/spreadsheetml/2009/9/main" uri="{B025F937-C7B1-47D3-B67F-A62EFF666E3E}">
          <x14:id>{029E71EF-5A88-4043-97A3-8A3B3A046DE0}</x14:id>
        </ext>
      </extLst>
    </cfRule>
  </conditionalFormatting>
  <conditionalFormatting sqref="O3:P7">
    <cfRule type="dataBar" priority="3">
      <dataBar>
        <cfvo type="min"/>
        <cfvo type="max"/>
        <color rgb="FF638EC6"/>
      </dataBar>
      <extLst>
        <ext xmlns:x14="http://schemas.microsoft.com/office/spreadsheetml/2009/9/main" uri="{B025F937-C7B1-47D3-B67F-A62EFF666E3E}">
          <x14:id>{5727F077-49CE-45F3-9ADE-21438DB53CB6}</x14:id>
        </ext>
      </extLst>
    </cfRule>
  </conditionalFormatting>
  <conditionalFormatting sqref="O10:P10">
    <cfRule type="dataBar" priority="2">
      <dataBar>
        <cfvo type="min"/>
        <cfvo type="max"/>
        <color rgb="FF638EC6"/>
      </dataBar>
      <extLst>
        <ext xmlns:x14="http://schemas.microsoft.com/office/spreadsheetml/2009/9/main" uri="{B025F937-C7B1-47D3-B67F-A62EFF666E3E}">
          <x14:id>{877D5595-1F5E-4553-93C9-827F6732563B}</x14:id>
        </ext>
      </extLst>
    </cfRule>
  </conditionalFormatting>
  <conditionalFormatting sqref="P11:P15 Q19">
    <cfRule type="dataBar" priority="17">
      <dataBar>
        <cfvo type="min"/>
        <cfvo type="max"/>
        <color rgb="FF638EC6"/>
      </dataBar>
      <extLst>
        <ext xmlns:x14="http://schemas.microsoft.com/office/spreadsheetml/2009/9/main" uri="{B025F937-C7B1-47D3-B67F-A62EFF666E3E}">
          <x14:id>{E7B266C2-598C-4DF8-BE5C-1CDDAFF32C0D}</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029E71EF-5A88-4043-97A3-8A3B3A046DE0}">
            <x14:dataBar minLength="0" maxLength="100" border="1" negativeBarBorderColorSameAsPositive="0">
              <x14:cfvo type="autoMin"/>
              <x14:cfvo type="autoMax"/>
              <x14:borderColor rgb="FF638EC6"/>
              <x14:negativeFillColor rgb="FFFF0000"/>
              <x14:negativeBorderColor rgb="FFFF0000"/>
              <x14:axisColor rgb="FF000000"/>
            </x14:dataBar>
          </x14:cfRule>
          <xm:sqref>O2:P2</xm:sqref>
        </x14:conditionalFormatting>
        <x14:conditionalFormatting xmlns:xm="http://schemas.microsoft.com/office/excel/2006/main">
          <x14:cfRule type="dataBar" id="{5727F077-49CE-45F3-9ADE-21438DB53CB6}">
            <x14:dataBar minLength="0" maxLength="100" border="1" negativeBarBorderColorSameAsPositive="0">
              <x14:cfvo type="autoMin"/>
              <x14:cfvo type="autoMax"/>
              <x14:borderColor rgb="FF638EC6"/>
              <x14:negativeFillColor rgb="FFFF0000"/>
              <x14:negativeBorderColor rgb="FFFF0000"/>
              <x14:axisColor rgb="FF000000"/>
            </x14:dataBar>
          </x14:cfRule>
          <xm:sqref>O3:P7</xm:sqref>
        </x14:conditionalFormatting>
        <x14:conditionalFormatting xmlns:xm="http://schemas.microsoft.com/office/excel/2006/main">
          <x14:cfRule type="dataBar" id="{877D5595-1F5E-4553-93C9-827F6732563B}">
            <x14:dataBar minLength="0" maxLength="100" border="1" negativeBarBorderColorSameAsPositive="0">
              <x14:cfvo type="autoMin"/>
              <x14:cfvo type="autoMax"/>
              <x14:borderColor rgb="FF638EC6"/>
              <x14:negativeFillColor rgb="FFFF0000"/>
              <x14:negativeBorderColor rgb="FFFF0000"/>
              <x14:axisColor rgb="FF000000"/>
            </x14:dataBar>
          </x14:cfRule>
          <xm:sqref>O10:P10</xm:sqref>
        </x14:conditionalFormatting>
        <x14:conditionalFormatting xmlns:xm="http://schemas.microsoft.com/office/excel/2006/main">
          <x14:cfRule type="dataBar" id="{E7B266C2-598C-4DF8-BE5C-1CDDAFF32C0D}">
            <x14:dataBar minLength="0" maxLength="100" border="1" negativeBarBorderColorSameAsPositive="0">
              <x14:cfvo type="autoMin"/>
              <x14:cfvo type="autoMax"/>
              <x14:borderColor rgb="FF638EC6"/>
              <x14:negativeFillColor rgb="FFFF0000"/>
              <x14:negativeBorderColor rgb="FFFF0000"/>
              <x14:axisColor rgb="FF000000"/>
            </x14:dataBar>
          </x14:cfRule>
          <xm:sqref>P11:P15 Q19</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0A31F-AFDB-45B2-9A0A-A34B348A6076}">
  <dimension ref="B3:G12"/>
  <sheetViews>
    <sheetView showGridLines="0" tabSelected="1" workbookViewId="0">
      <selection activeCell="C19" sqref="C19"/>
    </sheetView>
  </sheetViews>
  <sheetFormatPr defaultRowHeight="14.4" x14ac:dyDescent="0.3"/>
  <cols>
    <col min="3" max="3" width="77.6640625" customWidth="1"/>
    <col min="4" max="5" width="8.88671875" hidden="1" customWidth="1"/>
    <col min="6" max="6" width="19" hidden="1" customWidth="1"/>
    <col min="7" max="7" width="14.44140625" hidden="1" customWidth="1"/>
  </cols>
  <sheetData>
    <row r="3" spans="2:7" x14ac:dyDescent="0.3">
      <c r="C3" s="33" t="s">
        <v>1365</v>
      </c>
      <c r="D3" s="33"/>
      <c r="E3" s="33"/>
      <c r="F3" s="33"/>
      <c r="G3" s="33"/>
    </row>
    <row r="5" spans="2:7" ht="21.6" customHeight="1" x14ac:dyDescent="0.3">
      <c r="B5" s="38">
        <v>1</v>
      </c>
      <c r="C5" s="39" t="s">
        <v>1366</v>
      </c>
      <c r="D5" s="39"/>
      <c r="E5" s="39"/>
      <c r="F5" s="39"/>
      <c r="G5" s="39"/>
    </row>
    <row r="6" spans="2:7" ht="21.6" customHeight="1" x14ac:dyDescent="0.3">
      <c r="B6" s="38">
        <v>2</v>
      </c>
      <c r="C6" s="39" t="s">
        <v>1367</v>
      </c>
      <c r="D6" s="39"/>
      <c r="E6" s="39"/>
      <c r="F6" s="39"/>
      <c r="G6" s="38"/>
    </row>
    <row r="7" spans="2:7" ht="21.6" customHeight="1" x14ac:dyDescent="0.3">
      <c r="B7" s="38">
        <v>3</v>
      </c>
      <c r="C7" s="38" t="s">
        <v>1368</v>
      </c>
      <c r="D7" s="38"/>
      <c r="E7" s="38"/>
      <c r="F7" s="38"/>
      <c r="G7" s="38"/>
    </row>
    <row r="8" spans="2:7" ht="21.6" customHeight="1" x14ac:dyDescent="0.3">
      <c r="B8" s="38">
        <v>4</v>
      </c>
      <c r="C8" s="38" t="s">
        <v>1369</v>
      </c>
      <c r="D8" s="38"/>
      <c r="E8" s="38"/>
      <c r="F8" s="38"/>
      <c r="G8" s="38"/>
    </row>
    <row r="9" spans="2:7" ht="21.6" customHeight="1" x14ac:dyDescent="0.3">
      <c r="B9" s="38">
        <v>5</v>
      </c>
      <c r="C9" s="38" t="s">
        <v>1370</v>
      </c>
      <c r="D9" s="38"/>
      <c r="E9" s="38"/>
      <c r="F9" s="38"/>
      <c r="G9" s="38"/>
    </row>
    <row r="10" spans="2:7" ht="21.6" customHeight="1" x14ac:dyDescent="0.3">
      <c r="B10" s="38">
        <v>6</v>
      </c>
      <c r="C10" s="38" t="s">
        <v>1371</v>
      </c>
      <c r="D10" s="38"/>
      <c r="E10" s="38"/>
      <c r="F10" s="38"/>
      <c r="G10" s="38"/>
    </row>
    <row r="11" spans="2:7" ht="21.6" customHeight="1" x14ac:dyDescent="0.3">
      <c r="B11" s="38">
        <v>7</v>
      </c>
      <c r="C11" s="38" t="s">
        <v>1372</v>
      </c>
      <c r="D11" s="38"/>
      <c r="E11" s="38"/>
      <c r="F11" s="38"/>
      <c r="G11" s="38"/>
    </row>
    <row r="12" spans="2:7" ht="21.6" customHeight="1" x14ac:dyDescent="0.3">
      <c r="B12" s="38">
        <v>8</v>
      </c>
      <c r="C12" s="38" t="s">
        <v>1373</v>
      </c>
      <c r="D12" s="38"/>
      <c r="E12" s="38"/>
      <c r="F12" s="38"/>
      <c r="G12" s="38"/>
    </row>
  </sheetData>
  <mergeCells count="3">
    <mergeCell ref="C3:G3"/>
    <mergeCell ref="C5:G5"/>
    <mergeCell ref="C6:F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analysis</vt:lpstr>
      <vt:lpstr>Data analysis</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Krantikumar</dc:creator>
  <cp:lastModifiedBy>Pavan Marathe</cp:lastModifiedBy>
  <dcterms:created xsi:type="dcterms:W3CDTF">2026-03-17T16:46:13Z</dcterms:created>
  <dcterms:modified xsi:type="dcterms:W3CDTF">2026-03-17T20:03:45Z</dcterms:modified>
</cp:coreProperties>
</file>