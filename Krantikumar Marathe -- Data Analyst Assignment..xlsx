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ant\OneDrive\Desktop\"/>
    </mc:Choice>
  </mc:AlternateContent>
  <xr:revisionPtr revIDLastSave="0" documentId="13_ncr:1_{CCE43993-D392-4F68-98CD-9A3D8B6AA9F1}" xr6:coauthVersionLast="47" xr6:coauthVersionMax="47" xr10:uidLastSave="{00000000-0000-0000-0000-000000000000}"/>
  <bookViews>
    <workbookView xWindow="-108" yWindow="-108" windowWidth="23256" windowHeight="12456" tabRatio="680" firstSheet="2" activeTab="7" xr2:uid="{250671EE-1240-46DE-949F-078CC72273E4}"/>
  </bookViews>
  <sheets>
    <sheet name="RESIDENTS" sheetId="1" r:id="rId1"/>
    <sheet name="RESIDENTS_CLEAN" sheetId="2" r:id="rId2"/>
    <sheet name="PAYMENTS" sheetId="4" r:id="rId3"/>
    <sheet name="TICKETS" sheetId="5" r:id="rId4"/>
    <sheet name="ERROR_LOG" sheetId="6" r:id="rId5"/>
    <sheet name="REVENUE_SUMMARY" sheetId="7" r:id="rId6"/>
    <sheet name="SUMMARY" sheetId="8" r:id="rId7"/>
    <sheet name="DASHBOARD1" sheetId="9" r:id="rId8"/>
  </sheets>
  <definedNames>
    <definedName name="_xlcn.WorksheetConnection_KrantikumarMarathe—DataAnalystAssignment..xlsxPAYMENTS1" hidden="1">PAYMENTS[]</definedName>
    <definedName name="_xlcn.WorksheetConnection_KrantikumarMarathe—DataAnalystAssignment..xlsxTable11" hidden="1">RESIDENT_CLEAN[]</definedName>
    <definedName name="_xlcn.WorksheetConnection_KrantikumarMarathe—DataAnalystAssignment..xlsxTICKETS1" hidden="1">TICKETS[]</definedName>
    <definedName name="_xlnm.Print_Area" localSheetId="7">DASHBOARD1!$A$2:$P$50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RESIDENT_CLEAN" connection="WorksheetConnection_Krantikumar Marathe — Data Analyst Assignment..xlsx!Table1"/>
          <x15:modelTable id="PAYMENTS" name="PAYMENTS" connection="WorksheetConnection_Krantikumar Marathe — Data Analyst Assignment..xlsx!PAYMENTS"/>
          <x15:modelTable id="TICKETS" name="TICKETS" connection="WorksheetConnection_Krantikumar Marathe — Data Analyst Assignment..xlsx!TICKET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7" l="1"/>
  <c r="G17" i="2"/>
  <c r="E6" i="7"/>
  <c r="J40" i="9"/>
  <c r="L16" i="9"/>
  <c r="I16" i="9"/>
  <c r="F16" i="9"/>
  <c r="C16" i="9"/>
  <c r="J11" i="8"/>
  <c r="F15" i="9" s="1"/>
  <c r="J12" i="8"/>
  <c r="I15" i="9" s="1"/>
  <c r="J13" i="8"/>
  <c r="L15" i="9" s="1"/>
  <c r="J10" i="8"/>
  <c r="C15" i="9" s="1"/>
  <c r="I5" i="8"/>
  <c r="B5" i="8"/>
  <c r="H24" i="4"/>
  <c r="E4" i="7"/>
  <c r="E5" i="7"/>
  <c r="K2" i="5"/>
  <c r="J2" i="5"/>
  <c r="J3" i="5"/>
  <c r="K3" i="5" s="1"/>
  <c r="J4" i="5"/>
  <c r="K4" i="5" s="1"/>
  <c r="J5" i="5"/>
  <c r="J6" i="5"/>
  <c r="K6" i="5" s="1"/>
  <c r="J7" i="5"/>
  <c r="K7" i="5" s="1"/>
  <c r="J8" i="5"/>
  <c r="J9" i="5"/>
  <c r="K9" i="5" s="1"/>
  <c r="J10" i="5"/>
  <c r="K10" i="5" s="1"/>
  <c r="J11" i="5"/>
  <c r="J12" i="5"/>
  <c r="K12" i="5" s="1"/>
  <c r="J13" i="5"/>
  <c r="K13" i="5" s="1"/>
  <c r="J14" i="5"/>
  <c r="K14" i="5" s="1"/>
  <c r="J15" i="5"/>
  <c r="J16" i="5"/>
  <c r="K16" i="5" s="1"/>
  <c r="D22" i="4"/>
  <c r="E22" i="4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C5" i="7"/>
  <c r="C3" i="7"/>
  <c r="D3" i="7" s="1"/>
  <c r="C4" i="7"/>
  <c r="K5" i="5"/>
  <c r="K8" i="5"/>
  <c r="K11" i="5"/>
  <c r="K15" i="5"/>
  <c r="H17" i="2"/>
  <c r="M12" i="2"/>
  <c r="N12" i="2" s="1"/>
  <c r="M11" i="2"/>
  <c r="N11" i="2" s="1"/>
  <c r="M13" i="2"/>
  <c r="N13" i="2" s="1"/>
  <c r="M14" i="2"/>
  <c r="N14" i="2" s="1"/>
  <c r="M15" i="2"/>
  <c r="N15" i="2" s="1"/>
  <c r="M16" i="2"/>
  <c r="N16" i="2" s="1"/>
  <c r="M10" i="2"/>
  <c r="N10" i="2" s="1"/>
  <c r="M3" i="2"/>
  <c r="N3" i="2" s="1"/>
  <c r="M4" i="2"/>
  <c r="N4" i="2" s="1"/>
  <c r="M5" i="2"/>
  <c r="N5" i="2" s="1"/>
  <c r="M6" i="2"/>
  <c r="N6" i="2" s="1"/>
  <c r="M7" i="2"/>
  <c r="N7" i="2" s="1"/>
  <c r="H6" i="7" s="1"/>
  <c r="M8" i="2"/>
  <c r="N8" i="2" s="1"/>
  <c r="M9" i="2"/>
  <c r="N9" i="2" s="1"/>
  <c r="M2" i="2"/>
  <c r="N2" i="2" s="1"/>
  <c r="H3" i="7" s="1"/>
  <c r="B7" i="7"/>
  <c r="I2" i="4"/>
  <c r="G3" i="7" s="1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C6" i="7"/>
  <c r="E7" i="7" l="1"/>
  <c r="H4" i="7"/>
  <c r="H5" i="7"/>
  <c r="F4" i="7"/>
  <c r="G4" i="7"/>
  <c r="G5" i="7"/>
  <c r="G6" i="7"/>
  <c r="F3" i="7"/>
  <c r="F5" i="7"/>
  <c r="F6" i="7"/>
  <c r="E5" i="8"/>
  <c r="J22" i="4"/>
  <c r="D5" i="7"/>
  <c r="D4" i="7"/>
  <c r="D6" i="7"/>
  <c r="N17" i="2"/>
  <c r="M17" i="2"/>
  <c r="C7" i="7"/>
  <c r="C5" i="8" s="1"/>
  <c r="B5" i="9" s="1"/>
  <c r="H7" i="7" l="1"/>
  <c r="H5" i="8" s="1"/>
  <c r="H5" i="9" s="1"/>
  <c r="C10" i="8" a="1"/>
  <c r="G7" i="7"/>
  <c r="G5" i="8" s="1"/>
  <c r="E5" i="9" s="1"/>
  <c r="F7" i="7"/>
  <c r="D7" i="7"/>
  <c r="D5" i="8" s="1"/>
  <c r="I12" i="9" l="1"/>
  <c r="C14" i="9"/>
  <c r="L13" i="9"/>
  <c r="L14" i="9"/>
  <c r="F10" i="9"/>
  <c r="I10" i="9"/>
  <c r="I13" i="9"/>
  <c r="C12" i="9"/>
  <c r="F14" i="9"/>
  <c r="L12" i="9"/>
  <c r="C10" i="8"/>
  <c r="C11" i="9"/>
  <c r="I11" i="9"/>
  <c r="C13" i="9"/>
  <c r="F13" i="9"/>
  <c r="L11" i="9"/>
  <c r="L10" i="9"/>
  <c r="F12" i="9"/>
  <c r="I14" i="9"/>
  <c r="C10" i="9"/>
  <c r="F11" i="9"/>
  <c r="F5" i="8"/>
  <c r="J5" i="8"/>
  <c r="K5" i="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5FFA88-AB08-4438-B105-28BAFFBF6FE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905C1DF-1453-4592-BFA8-C3F9EE230C9F}" name="WorksheetConnection_Krantikumar Marathe — Data Analyst Assignment..xlsx!PAYMENTS" type="102" refreshedVersion="8" minRefreshableVersion="5">
    <extLst>
      <ext xmlns:x15="http://schemas.microsoft.com/office/spreadsheetml/2010/11/main" uri="{DE250136-89BD-433C-8126-D09CA5730AF9}">
        <x15:connection id="PAYMENTS">
          <x15:rangePr sourceName="_xlcn.WorksheetConnection_KrantikumarMarathe—DataAnalystAssignment..xlsxPAYMENTS1"/>
        </x15:connection>
      </ext>
    </extLst>
  </connection>
  <connection id="3" xr16:uid="{A0595E78-BD9A-4DB9-8AF6-907F020E1F5A}" name="WorksheetConnection_Krantikumar Marathe — Data Analyst Assignment.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KrantikumarMarathe—DataAnalystAssignment..xlsxTable11"/>
        </x15:connection>
      </ext>
    </extLst>
  </connection>
  <connection id="4" xr16:uid="{A963AC62-61C6-4632-A2E8-26EB54F70B20}" name="WorksheetConnection_Krantikumar Marathe — Data Analyst Assignment..xlsx!TICKETS" type="102" refreshedVersion="8" minRefreshableVersion="5">
    <extLst>
      <ext xmlns:x15="http://schemas.microsoft.com/office/spreadsheetml/2010/11/main" uri="{DE250136-89BD-433C-8126-D09CA5730AF9}">
        <x15:connection id="TICKETS">
          <x15:rangePr sourceName="_xlcn.WorksheetConnection_KrantikumarMarathe—DataAnalystAssignment..xlsxTICKET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<sst xmlns="http://schemas.openxmlformats.org/spreadsheetml/2006/main" count="717" uniqueCount="314">
  <si>
    <t>R01</t>
  </si>
  <si>
    <t>Ananya Roy</t>
  </si>
  <si>
    <t>Koramangala</t>
  </si>
  <si>
    <t>K-101</t>
  </si>
  <si>
    <t>Moved Out</t>
  </si>
  <si>
    <t>Yes</t>
  </si>
  <si>
    <t>R02</t>
  </si>
  <si>
    <t>RAHUL MEHTA</t>
  </si>
  <si>
    <t>Whitefield</t>
  </si>
  <si>
    <t>W-204</t>
  </si>
  <si>
    <t>Active</t>
  </si>
  <si>
    <t>No</t>
  </si>
  <si>
    <t>R03</t>
  </si>
  <si>
    <t>priya nair</t>
  </si>
  <si>
    <t>10/01/2025 ← Same bed as R01, dates overlap</t>
  </si>
  <si>
    <t>R04</t>
  </si>
  <si>
    <t>Vikram Sinha</t>
  </si>
  <si>
    <t>HSR Layout</t>
  </si>
  <si>
    <t>H-302</t>
  </si>
  <si>
    <t>Active ← Move-out date has passed</t>
  </si>
  <si>
    <t>R05</t>
  </si>
  <si>
    <t>fatima sheikh</t>
  </si>
  <si>
    <t>W-107</t>
  </si>
  <si>
    <t>7,500 ← Below min ₹8,000</t>
  </si>
  <si>
    <t>R06</t>
  </si>
  <si>
    <t>Arun Pillai</t>
  </si>
  <si>
    <t>Indiranagar</t>
  </si>
  <si>
    <t>I-210</t>
  </si>
  <si>
    <t>R07</t>
  </si>
  <si>
    <t>Meena Iyer</t>
  </si>
  <si>
    <t>H-108</t>
  </si>
  <si>
    <t>R08</t>
  </si>
  <si>
    <t>Dev Shah</t>
  </si>
  <si>
    <t>K-205</t>
  </si>
  <si>
    <t>Moved Out ← Move-out before move-in</t>
  </si>
  <si>
    <t>R09</t>
  </si>
  <si>
    <t>Zara Khan</t>
  </si>
  <si>
    <t>Active ← Same bed as R06, no end date on R06</t>
  </si>
  <si>
    <t>R10</t>
  </si>
  <si>
    <t>Nikhil Gupta</t>
  </si>
  <si>
    <t>W-310</t>
  </si>
  <si>
    <t>R11</t>
  </si>
  <si>
    <t>Leela Thomas</t>
  </si>
  <si>
    <t>H-215</t>
  </si>
  <si>
    <t>No ← Deposit amount = 1 month only, should be 2</t>
  </si>
  <si>
    <t>R12</t>
  </si>
  <si>
    <t>Sanjay Tiwari</t>
  </si>
  <si>
    <t>K-308</t>
  </si>
  <si>
    <t>R13</t>
  </si>
  <si>
    <t>kavya reddy</t>
  </si>
  <si>
    <t>I-114</t>
  </si>
  <si>
    <t>R14</t>
  </si>
  <si>
    <t>Omar Sheikh</t>
  </si>
  <si>
    <t>Active ← Same bed as R02, no end date on R02</t>
  </si>
  <si>
    <t>R15</t>
  </si>
  <si>
    <t>Tanvi Desai</t>
  </si>
  <si>
    <t>ID</t>
  </si>
  <si>
    <t>Resident Name</t>
  </si>
  <si>
    <t>Property</t>
  </si>
  <si>
    <t>Bed Code</t>
  </si>
  <si>
    <t>Move-In Date</t>
  </si>
  <si>
    <t>Move-Out Date</t>
  </si>
  <si>
    <t>Status</t>
  </si>
  <si>
    <t>Monthly Rent (₹)</t>
  </si>
  <si>
    <t>Deposit Paid</t>
  </si>
  <si>
    <t>Deposit Amt (₹)</t>
  </si>
  <si>
    <t>Notice Given</t>
  </si>
  <si>
    <t>Payment ID</t>
  </si>
  <si>
    <t>Resident ID</t>
  </si>
  <si>
    <t>Month</t>
  </si>
  <si>
    <t>Amount Due (₹)</t>
  </si>
  <si>
    <t>Amount Paid (₹)</t>
  </si>
  <si>
    <t>Payment Date</t>
  </si>
  <si>
    <t>Mode</t>
  </si>
  <si>
    <t>P001</t>
  </si>
  <si>
    <t>UPI</t>
  </si>
  <si>
    <t>Cleared</t>
  </si>
  <si>
    <t>P002</t>
  </si>
  <si>
    <t>Bank Transfer</t>
  </si>
  <si>
    <t>P003</t>
  </si>
  <si>
    <t>Cash</t>
  </si>
  <si>
    <t>P004</t>
  </si>
  <si>
    <t>Unpaid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</si>
  <si>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</si>
  <si>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</si>
  <si>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</si>
  <si>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</si>
  <si>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</si>
  <si>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</si>
  <si>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</si>
  <si>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</si>
  <si>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</si>
  <si>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</si>
  <si>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</si>
  <si>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</si>
  <si>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</si>
  <si>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</si>
  <si>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</si>
  <si>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</si>
  <si>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Ticket ID</t>
  </si>
  <si>
    <t>Bed / Area</t>
  </si>
  <si>
    <t>Issue</t>
  </si>
  <si>
    <t>Priority</t>
  </si>
  <si>
    <t>Raised On</t>
  </si>
  <si>
    <t>Resolved On</t>
  </si>
  <si>
    <t>Raised By</t>
  </si>
  <si>
    <t>T01</t>
  </si>
  <si>
    <t>Water leakage from ceiling</t>
  </si>
  <si>
    <t>High</t>
  </si>
  <si>
    <t>Resolved</t>
  </si>
  <si>
    <t>T02</t>
  </si>
  <si>
    <t>Common</t>
  </si>
  <si>
    <t>Wi-Fi router not working</t>
  </si>
  <si>
    <t>Medium</t>
  </si>
  <si>
    <t>Open</t>
  </si>
  <si>
    <t>Rahul Mehta</t>
  </si>
  <si>
    <t>T03</t>
  </si>
  <si>
    <t>Broken wardrobe door</t>
  </si>
  <si>
    <t>Low</t>
  </si>
  <si>
    <t>T04</t>
  </si>
  <si>
    <t>AC not cooling</t>
  </si>
  <si>
    <t>T05</t>
  </si>
  <si>
    <t>Bathroom flush broken</t>
  </si>
  <si>
    <t>T06</t>
  </si>
  <si>
    <t>Mould on bathroom wall</t>
  </si>
  <si>
    <t>Critical</t>
  </si>
  <si>
    <t>Fatima Sheikh</t>
  </si>
  <si>
    <t>T07</t>
  </si>
  <si>
    <t>Hot water not available</t>
  </si>
  <si>
    <t>T08</t>
  </si>
  <si>
    <t>Main door lock faulty</t>
  </si>
  <si>
    <t>Kavya Reddy</t>
  </si>
  <si>
    <t>T09</t>
  </si>
  <si>
    <t>Electricity tripping</t>
  </si>
  <si>
    <t>T10</t>
  </si>
  <si>
    <t>Geyser not working</t>
  </si>
  <si>
    <t>T11</t>
  </si>
  <si>
    <t>Pest infestation in kitchen</t>
  </si>
  <si>
    <t>T12</t>
  </si>
  <si>
    <t>CCTV camera offline</t>
  </si>
  <si>
    <t>T13</t>
  </si>
  <si>
    <t>Seepage from window</t>
  </si>
  <si>
    <t>Priya Nair</t>
  </si>
  <si>
    <t>T14</t>
  </si>
  <si>
    <t>Cupboard key missing</t>
  </si>
  <si>
    <t>T15</t>
  </si>
  <si>
    <t>Light fitting loose</t>
  </si>
  <si>
    <t>Notes/Flags</t>
  </si>
  <si>
    <t xml:space="preserve">No </t>
  </si>
  <si>
    <t xml:space="preserve"> Table</t>
  </si>
  <si>
    <t xml:space="preserve"> Field</t>
  </si>
  <si>
    <t xml:space="preserve"> What's Wrong</t>
  </si>
  <si>
    <t>Corrected Value</t>
  </si>
  <si>
    <t>Business Risk if Not Fixed</t>
  </si>
  <si>
    <t>Name/Bed Code</t>
  </si>
  <si>
    <t>Monthly Rent</t>
  </si>
  <si>
    <t>Move-out date</t>
  </si>
  <si>
    <t>Bed Code/ Status</t>
  </si>
  <si>
    <t>Deposite Amount</t>
  </si>
  <si>
    <t xml:space="preserve"> Total Beds </t>
  </si>
  <si>
    <t xml:space="preserve"> Active Residents </t>
  </si>
  <si>
    <t xml:space="preserve"> Total Rent Collected </t>
  </si>
  <si>
    <t xml:space="preserve"> Total Outstanding </t>
  </si>
  <si>
    <t>Total</t>
  </si>
  <si>
    <t>Deposite Gap</t>
  </si>
  <si>
    <t>Aging Bucket</t>
  </si>
  <si>
    <t>Tickets Days open</t>
  </si>
  <si>
    <t>Total Beds</t>
  </si>
  <si>
    <t>Active Residents</t>
  </si>
  <si>
    <t>Occupancy Rate</t>
  </si>
  <si>
    <t xml:space="preserve">Moved-out </t>
  </si>
  <si>
    <t>Moved-out</t>
  </si>
  <si>
    <t>Bed Conflit with  R01 and Occuping same time/dates flagged for operations</t>
  </si>
  <si>
    <t>Rent corrected ₹7,500→₹8,000 (below policy min). Deposit updated to 2 months.</t>
  </si>
  <si>
    <t>Date error move-out 05/03/2025 is before move-in 10/03/2025 flagged for verification with op</t>
  </si>
  <si>
    <t>Bed conflict with R06 (I-210)  R06 has no move-out date. Flagged for ops.</t>
  </si>
  <si>
    <t>Deposit corrected should be ₹11000 to  ₹22000 Rupee for 2 Month</t>
  </si>
  <si>
    <t>Bed Conflit with R02 , R02 has no Move out date for W204 Bed Flagged for ops</t>
  </si>
  <si>
    <t xml:space="preserve">Status corrected Move out date 28/02/2025 alredy passed </t>
  </si>
  <si>
    <t>Status2</t>
  </si>
  <si>
    <t>Critical Problem Need to look at</t>
  </si>
  <si>
    <t xml:space="preserve">Resident Name </t>
  </si>
  <si>
    <t>Inconsistent data quality</t>
  </si>
  <si>
    <t>RESIDENTS</t>
  </si>
  <si>
    <t>₹8000 + deposit corrected to ₹16,000</t>
  </si>
  <si>
    <t>Double booking risk and potential resident dispute and revenue confusion</t>
  </si>
  <si>
    <t>Deposit ₹11,000 equals only 1 month rent,  policy requires 2 months = ₹22,000</t>
  </si>
  <si>
    <t>Company underprotected if resident defaults ₹11,000 shortfall in security cover</t>
  </si>
  <si>
    <t>Flagged for operations - R02 end date must be confirmed</t>
  </si>
  <si>
    <t>BONUS OBSERVATIONS</t>
  </si>
  <si>
    <t>B1</t>
  </si>
  <si>
    <t>Amount Due</t>
  </si>
  <si>
    <t>Correct Amount Due to ₹8,000 in both records</t>
  </si>
  <si>
    <t>Revenue leakage of ₹1,000 unrecorded, ₹500/month shortfall from active resident</t>
  </si>
  <si>
    <t>B2</t>
  </si>
  <si>
    <t>Flag for finance review - likely erroneous charge or advance payment</t>
  </si>
  <si>
    <t>Incorrect revenue recognition, potential refund liability to R04</t>
  </si>
  <si>
    <t>Partial</t>
  </si>
  <si>
    <t>Total Monthly Rent Collectible</t>
  </si>
  <si>
    <t>Total Gap</t>
  </si>
  <si>
    <t>Red rows contain data errors - see RESIDENTS_CLEAN and ERROR_LOG tabs</t>
  </si>
  <si>
    <t>Name Standlized Title Case</t>
  </si>
  <si>
    <t>Shortfall  ₹</t>
  </si>
  <si>
    <t>ERROR LOGS - Task 1 | NestSpace Co-Living</t>
  </si>
  <si>
    <t>R03/R01</t>
  </si>
  <si>
    <t>Bed H-302 appears occupied, blocks re-letting; lost revenue from vacant bed, deposite refund overdues</t>
  </si>
  <si>
    <t>₹500/month revenue leakage /non-compliance with pricing policy, invalid deposite</t>
  </si>
  <si>
    <t>Move-Out Date 31/03/2025           (assumed; must be verified with ops)</t>
  </si>
  <si>
    <t>All tenure/revenue calculations will be wrong; creates data integrity failure across reports</t>
  </si>
  <si>
    <t>R09/R06</t>
  </si>
  <si>
    <t>Add Move-Out Date to R06 OR reassign R09 to different bed - requires ops verification</t>
  </si>
  <si>
    <t>CorrectedDeposite Amount ₹22000</t>
  </si>
  <si>
    <t>R14/R02</t>
  </si>
  <si>
    <t>Bed W-204 assigned to (Omar Sheikh) R14 from 10/05/25 while R02 (Rahul Mehta) is still Active with no move-out date</t>
  </si>
  <si>
    <t>Double booking risk, revenue and leagal risk, Billing confusion</t>
  </si>
  <si>
    <t>B3</t>
  </si>
  <si>
    <t>PAYMENTS P005/P014</t>
  </si>
  <si>
    <t>PAYMENTS P020/R04</t>
  </si>
  <si>
    <t>RESIDENTS (R02, R06, R09, R14)</t>
  </si>
  <si>
    <t>Bed allocation process</t>
  </si>
  <si>
    <t>Three active double-bookings (K-101, I-210, W-204) in a 15-resident dataset is not a data entry accident - it points to a systemic gap, no bed-availability check before assignment. The ops team is assigning beds without verifying current occupancy.</t>
  </si>
  <si>
    <t>Recommend implementing bed-booking in the property management system</t>
  </si>
  <si>
    <t>Double booking, revenue risk, dispute resident and legal risk,</t>
  </si>
  <si>
    <t>WRITTEN ANSWERS - Task 2</t>
  </si>
  <si>
    <t>Highest outstanding rent &amp; gap</t>
  </si>
  <si>
    <t>2.	There are 2 residents who have made partial payments. What is the total shortfall from those two payments combined?</t>
  </si>
  <si>
    <t>1.   Which property has the highest total outstanding rent? By how much does it lead the second-highest?</t>
  </si>
  <si>
    <t>Partial payment shortfall</t>
  </si>
  <si>
    <t>3.One resident's rent is below the company minimum. If their rent is corrected to ₹8,000 going forward, how much extra monthly revenue does that generate across a 3-month period?</t>
  </si>
  <si>
    <t>Below-minimum rent correction</t>
  </si>
  <si>
    <t>4.	How many residents have NOT paid their deposit? List their names and the total deposit amount outstanding (use the correct 2-month policy amount for each).</t>
  </si>
  <si>
    <t>Residents with NO deposit paid</t>
  </si>
  <si>
    <t>2A - Outstanding Dues</t>
  </si>
  <si>
    <t>2B - Deposit Health Check</t>
  </si>
  <si>
    <t>Deposits paid but below 2-month policy</t>
  </si>
  <si>
    <t>Monthly Collectible</t>
  </si>
  <si>
    <t>Rent Collected</t>
  </si>
  <si>
    <t>Total Outstanding</t>
  </si>
  <si>
    <t>Deposit Gap</t>
  </si>
  <si>
    <t>No-Deposit Residents</t>
  </si>
  <si>
    <t>Collection Efficiency %</t>
  </si>
  <si>
    <t>Overall Occupancy Rate</t>
  </si>
  <si>
    <t>Collection Efficiency %( money owed was actually collected)</t>
  </si>
  <si>
    <t>PERFORMANCE SNAPSHOT</t>
  </si>
  <si>
    <t>PROPERTY BREAKDOWN (Q1 &amp; Q2 of Dashboard)</t>
  </si>
  <si>
    <t>Occupancy %</t>
  </si>
  <si>
    <t>Monthly Collectible (₹)</t>
  </si>
  <si>
    <t>Rent Collected (₹)</t>
  </si>
  <si>
    <t>Outstanding (₹)</t>
  </si>
  <si>
    <t>Deposit Gap (₹)</t>
  </si>
  <si>
    <t>Open Tickets</t>
  </si>
  <si>
    <t>Critical/Overdue Tickets</t>
  </si>
  <si>
    <t>Which property has the most Critical or Overdue open tickets? How many?</t>
  </si>
  <si>
    <t xml:space="preserve">	There are two Critical-priority tickets that have been open for over 30 days. What is the resident risk for each, and what would you recommend?</t>
  </si>
  <si>
    <t>MAINTENANCE ANALYSIS - Task 3 Answers</t>
  </si>
  <si>
    <t>  Write a 4-sentence escalation message to your operations Manager about the maintenance situation. Be specific - name the properties, ticket IDs, and recommended actions.</t>
  </si>
  <si>
    <t>NestSpace Co-Living - Property Health |  As of 20 June 2025</t>
  </si>
  <si>
    <t>Occupancy</t>
  </si>
  <si>
    <t>Active Residency</t>
  </si>
  <si>
    <t>Outstanding</t>
  </si>
  <si>
    <t>Collection</t>
  </si>
  <si>
    <t>Cri/ Overdues</t>
  </si>
  <si>
    <t>A</t>
  </si>
  <si>
    <t>B</t>
  </si>
  <si>
    <t>Overdue</t>
  </si>
  <si>
    <t>Needs Follow Up</t>
  </si>
  <si>
    <t>Wi-Fi Down</t>
  </si>
  <si>
    <t>Wardrobe</t>
  </si>
  <si>
    <t>Flush broken</t>
  </si>
  <si>
    <t>Mould bathroom wall</t>
  </si>
  <si>
    <t xml:space="preserve">door lock </t>
  </si>
  <si>
    <t>Electricity</t>
  </si>
  <si>
    <t>Pest kitchen</t>
  </si>
  <si>
    <t>CCTV offline</t>
  </si>
  <si>
    <t>Seepage</t>
  </si>
  <si>
    <t>Light loose</t>
  </si>
  <si>
    <t>Property overview</t>
  </si>
  <si>
    <t>Open tickets - critical &amp; overdue</t>
  </si>
  <si>
    <t>Deposit flags - ₹94,000 total gap</t>
  </si>
  <si>
    <t>Resident</t>
  </si>
  <si>
    <t>Priya Nair (R03)</t>
  </si>
  <si>
    <t>Omar Sheikh (R14)</t>
  </si>
  <si>
    <t>Arun Pillai (R06)</t>
  </si>
  <si>
    <t xml:space="preserve"> Indiranagar</t>
  </si>
  <si>
    <t>Leela Thomas (R11)</t>
  </si>
  <si>
    <t xml:space="preserve"> HSR Layout</t>
  </si>
  <si>
    <t>Nikhil Gupta(R10)</t>
  </si>
  <si>
    <t>NestSpace Co-Living  |  Property Health Dashboard  |  As of 20 June 2025</t>
  </si>
  <si>
    <t>Site visit priority</t>
  </si>
  <si>
    <t>Mould (health hazard, 71d) + Wi-Fi (97d) + W-204 bed conflict</t>
  </si>
  <si>
    <t>₹26,500 outstanding (3 residents) + door lock (50d) + CCTV offline</t>
  </si>
  <si>
    <t>3 tickets including electrical tripping (safety) + ₹6,000 outstanding</t>
  </si>
  <si>
    <t>Correct Deposit</t>
  </si>
  <si>
    <t>Bed I-210 assigned to (Arun Pillai) R06 (Active from 01-03-2025, no end date) while (Zara Khan) R09 (Active from 15/03/2025) -simultaneous double booking</t>
  </si>
  <si>
    <t>No outstanding rent -but wardrobe (92d) + pest infestation need scheduling</t>
  </si>
  <si>
    <t>5 How many residents have paid a deposit that is LESS than the 2-month policy amount? What is the total gap?</t>
  </si>
  <si>
    <t>Priya Nair: flag for ops; R01 vacated till 31/03/25 so R03 a different bed OR confirm R01 vacated before R03 moved in made changes in Status of Priya Nair</t>
  </si>
  <si>
    <t>Two residents assigned same bed and revenue and legal dispute risk, Priya Nair status not updated within 3 days of move-out, violating the policy</t>
  </si>
  <si>
    <t>REVENUE SUMMARY - Data Audit Task 2| NestSpace Co-living</t>
  </si>
  <si>
    <t>Indiranagar has the highest outstanding rent at ₹26,500 - three residents haven't fully paid (R09, R13, and R06 partial). HSR Layout is second at ₹22,000. Gap between the two is ₹4,500.</t>
  </si>
  <si>
    <t>Two residents made partial payments - R03 paid ₹6,000 against ₹12,000 due (shortfall ₹6,000), and R06 paid ₹5,000 against ₹10,500 due (shortfall ₹5,500). Total shortfall from both = ₹11,500.</t>
  </si>
  <si>
    <t>R05 Fatima Sheikh's rent was below the minimum at ₹7,500. Correcting it to ₹8,000 gives ₹500 extra per month - over 3 months that's ₹1,500 additional revenue.</t>
  </si>
  <si>
    <t xml:space="preserve">
Four residents haven't paid any deposit - Priya Nair, Arun Pillai, Nikhil Gupta, and Omar Sheikh - totalling ₹83,000. R11 Leela Thomas paid only ₹11,000 instead of ₹22,000. Total deposit gap across all five residents = ₹94,000.</t>
  </si>
  <si>
    <t>R11 Leela Thomas is the only resident who paid a deposit but came up short  she paid ₹11,000 against the required ₹22,000, leaving an ₹11,000 gap. All other residents who paid deposit either met the policy amount exactly or had their deposit corrected.</t>
  </si>
  <si>
    <t>Koramangala has the most with 3 Critical/Overdue tickets - bathroom flush broken (T05, 76 days), electricity tripping (T09, 41 days), and seepage (T13, 19 days). All other properties have 2 each. Worth noting Whitefield has the oldest single ticket in the system - Wi-Fi down for 97 days.</t>
  </si>
  <si>
    <t>T06 Whitefield - mould on bathroom wall, 71 days. This is a health hazard and a legal liability, needs a contractor today. T08 Indiranagar - main door lock broken, 50 days. A resident can't secure her own room, that's a direct safety risk. Both should have been actioned weeks ago.</t>
  </si>
  <si>
    <t>Rahul Mehta's name was entered in all caps (RAHUL MEHTA). Standardised to Title Case.</t>
  </si>
  <si>
    <t>Name in lowercase. Bed K-101 double booked with R01, dates overlap. Move-out date 30/04/2025 already passed but status still showing Active.</t>
  </si>
  <si>
    <t>Move-out date 28/02/2025 already passed but status still showing Active</t>
  </si>
  <si>
    <t>Rent ₹7,500 is below company minimum ₹8,000. Deposit ₹15,000 is also wrong, should be ₹16,000</t>
  </si>
  <si>
    <t>Move-out date 05/03/2025 is before move-in date 10/03/2025. Impossible</t>
  </si>
  <si>
    <t>P005 and P014 show ₹7,500 as amount due but rent was corrected to ₹8,000. That's ₹500 underpayment per month, ₹1,000 short across both payments.</t>
  </si>
  <si>
    <t xml:space="preserve">P020 shows ₹11,000 collected from R04 in March 2025 but R04 moved out in February. Payment was taken a month after the resident left </t>
  </si>
  <si>
    <r>
      <rPr>
        <b/>
        <sz val="11"/>
        <color theme="1"/>
        <rFont val="Calibri"/>
        <family val="2"/>
        <scheme val="minor"/>
      </rPr>
      <t>1.For site visits this week</t>
    </r>
    <r>
      <rPr>
        <sz val="11"/>
        <color theme="1"/>
        <rFont val="Calibri"/>
        <family val="2"/>
        <scheme val="minor"/>
      </rPr>
      <t xml:space="preserve">, I'd suggest starting with Whitefield. The Wi-Fi has been down for 97 days which is frankly embarrassing, the mould needs a physical check beyond just the contractor fix, and there's a bed conflict on W-204 that we need to sort out in person. A lot to fix but one visit covers it all.
2.Indiranagar should be your second stop. Beyond the door lock, we have ₹26,500 in outstanding rent across three residents - that's not a coincidence, something's going on there that a phone call won't fix.
3.Koramangala has the most open tickets right now (3), including electrical tripping which I wouldn't sit on much longer. Aim to get there by end of week.                                                            4. HSR Layout is relatively stable but no outstanding rent but pest infestation in the kitchen (T11) and a wardrobe that's been broken since March (T03) need to get scheduled before residents start complaining more formally.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</si>
</sst>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₹&quot;\ #,##0;[Red]&quot;₹&quot;\ \-#,##0"/>
    <numFmt numFmtId="44" formatCode="_ &quot;₹&quot;\ * #,##0.00_ ;_ &quot;₹&quot;\ * \-#,##0.00_ ;_ &quot;₹&quot;\ * &quot;-&quot;??_ ;_ @_ "/>
    <numFmt numFmtId="164" formatCode="_ [$₹-4009]\ * #,##0.00_ ;_ [$₹-4009]\ * \-#,##0.00_ ;_ [$₹-4009]\ * &quot;-&quot;??_ ;_ @_ "/>
    <numFmt numFmtId="165" formatCode="0.0%"/>
    <numFmt numFmtId="166" formatCode="\₹#,##0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1"/>
      <color theme="0"/>
      <name val="Arial"/>
      <family val="2"/>
    </font>
    <font>
      <sz val="9"/>
      <color rgb="FF2D2D2D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1B3A5C"/>
      <name val="Arial"/>
      <family val="2"/>
    </font>
    <font>
      <b/>
      <sz val="10"/>
      <color rgb="FFFFFFFF"/>
      <name val="Calibri"/>
      <family val="2"/>
      <scheme val="minor"/>
    </font>
    <font>
      <sz val="10"/>
      <color rgb="FF000000"/>
      <name val="Arial"/>
      <family val="2"/>
    </font>
    <font>
      <sz val="10.5"/>
      <color theme="1"/>
      <name val="Arial"/>
      <family val="2"/>
    </font>
    <font>
      <b/>
      <sz val="12"/>
      <color theme="0"/>
      <name val="Calibri"/>
      <family val="2"/>
    </font>
    <font>
      <b/>
      <sz val="12"/>
      <color theme="1"/>
      <name val="Calibri"/>
      <family val="2"/>
      <charset val="1"/>
    </font>
    <font>
      <b/>
      <sz val="12"/>
      <color theme="1"/>
      <name val="Arial"/>
      <family val="2"/>
    </font>
    <font>
      <b/>
      <sz val="20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color theme="0"/>
      <name val="Calibri"/>
      <family val="2"/>
      <scheme val="minor"/>
    </font>
    <font>
      <b/>
      <sz val="14"/>
      <color theme="0"/>
      <name val="Calibri"/>
      <family val="2"/>
      <charset val="1"/>
    </font>
    <font>
      <b/>
      <sz val="14"/>
      <color theme="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E75B6"/>
        <bgColor rgb="FF0066CC"/>
      </patternFill>
    </fill>
    <fill>
      <patternFill patternType="solid">
        <fgColor theme="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rgb="FF0066CC"/>
      </patternFill>
    </fill>
    <fill>
      <patternFill patternType="solid">
        <fgColor theme="3" tint="0.79998168889431442"/>
        <bgColor rgb="FFE2EFDA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/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/>
      <bottom style="hair">
        <color theme="0" tint="-0.34998626667073579"/>
      </bottom>
      <diagonal/>
    </border>
    <border>
      <left style="hair">
        <color theme="0" tint="-0.34998626667073579"/>
      </left>
      <right/>
      <top/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/>
      <top style="hair">
        <color theme="0" tint="-0.34998626667073579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7">
    <xf numFmtId="0" fontId="0" fillId="0" borderId="0" xfId="0"/>
    <xf numFmtId="14" fontId="0" fillId="0" borderId="0" xfId="0" applyNumberFormat="1"/>
    <xf numFmtId="0" fontId="2" fillId="0" borderId="0" xfId="0" applyFont="1"/>
    <xf numFmtId="9" fontId="0" fillId="0" borderId="0" xfId="2" applyFont="1"/>
    <xf numFmtId="0" fontId="0" fillId="0" borderId="1" xfId="0" applyBorder="1"/>
    <xf numFmtId="0" fontId="0" fillId="0" borderId="8" xfId="0" applyBorder="1"/>
    <xf numFmtId="0" fontId="0" fillId="0" borderId="5" xfId="0" applyBorder="1"/>
    <xf numFmtId="0" fontId="0" fillId="0" borderId="7" xfId="0" applyBorder="1"/>
    <xf numFmtId="0" fontId="0" fillId="0" borderId="4" xfId="0" applyBorder="1"/>
    <xf numFmtId="0" fontId="0" fillId="0" borderId="3" xfId="0" applyBorder="1"/>
    <xf numFmtId="0" fontId="0" fillId="0" borderId="6" xfId="0" applyBorder="1"/>
    <xf numFmtId="0" fontId="0" fillId="0" borderId="2" xfId="0" applyBorder="1"/>
    <xf numFmtId="0" fontId="0" fillId="5" borderId="8" xfId="0" applyFill="1" applyBorder="1"/>
    <xf numFmtId="0" fontId="0" fillId="5" borderId="1" xfId="0" applyFill="1" applyBorder="1"/>
    <xf numFmtId="14" fontId="0" fillId="5" borderId="1" xfId="0" applyNumberFormat="1" applyFill="1" applyBorder="1"/>
    <xf numFmtId="14" fontId="0" fillId="0" borderId="1" xfId="0" applyNumberFormat="1" applyBorder="1"/>
    <xf numFmtId="0" fontId="5" fillId="12" borderId="5" xfId="0" applyFont="1" applyFill="1" applyBorder="1" applyAlignment="1">
      <alignment horizontal="center" vertical="center"/>
    </xf>
    <xf numFmtId="0" fontId="5" fillId="12" borderId="7" xfId="0" applyFont="1" applyFill="1" applyBorder="1" applyAlignment="1">
      <alignment horizontal="center" vertical="center"/>
    </xf>
    <xf numFmtId="0" fontId="5" fillId="12" borderId="4" xfId="0" applyFont="1" applyFill="1" applyBorder="1" applyAlignment="1">
      <alignment horizontal="center" vertical="center"/>
    </xf>
    <xf numFmtId="14" fontId="0" fillId="0" borderId="6" xfId="0" applyNumberFormat="1" applyBorder="1"/>
    <xf numFmtId="0" fontId="9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5" fillId="13" borderId="8" xfId="0" applyFont="1" applyFill="1" applyBorder="1"/>
    <xf numFmtId="0" fontId="5" fillId="13" borderId="1" xfId="0" applyFont="1" applyFill="1" applyBorder="1"/>
    <xf numFmtId="14" fontId="5" fillId="13" borderId="1" xfId="0" applyNumberFormat="1" applyFont="1" applyFill="1" applyBorder="1"/>
    <xf numFmtId="0" fontId="8" fillId="13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 wrapText="1"/>
    </xf>
    <xf numFmtId="0" fontId="0" fillId="9" borderId="0" xfId="0" applyFill="1"/>
    <xf numFmtId="14" fontId="0" fillId="9" borderId="0" xfId="0" applyNumberFormat="1" applyFill="1"/>
    <xf numFmtId="0" fontId="0" fillId="3" borderId="1" xfId="0" applyFill="1" applyBorder="1"/>
    <xf numFmtId="0" fontId="10" fillId="15" borderId="1" xfId="0" applyFont="1" applyFill="1" applyBorder="1"/>
    <xf numFmtId="0" fontId="0" fillId="16" borderId="1" xfId="0" applyFill="1" applyBorder="1"/>
    <xf numFmtId="0" fontId="0" fillId="16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9" xfId="0" applyBorder="1" applyAlignment="1">
      <alignment wrapText="1"/>
    </xf>
    <xf numFmtId="6" fontId="0" fillId="0" borderId="1" xfId="0" applyNumberFormat="1" applyBorder="1" applyAlignment="1">
      <alignment wrapText="1"/>
    </xf>
    <xf numFmtId="165" fontId="0" fillId="0" borderId="0" xfId="2" applyNumberFormat="1" applyFont="1"/>
    <xf numFmtId="0" fontId="0" fillId="3" borderId="8" xfId="0" applyFill="1" applyBorder="1"/>
    <xf numFmtId="14" fontId="0" fillId="3" borderId="1" xfId="0" applyNumberFormat="1" applyFill="1" applyBorder="1"/>
    <xf numFmtId="44" fontId="0" fillId="0" borderId="0" xfId="0" applyNumberFormat="1"/>
    <xf numFmtId="0" fontId="5" fillId="8" borderId="13" xfId="0" applyFont="1" applyFill="1" applyBorder="1"/>
    <xf numFmtId="0" fontId="5" fillId="8" borderId="14" xfId="0" applyFont="1" applyFill="1" applyBorder="1"/>
    <xf numFmtId="0" fontId="7" fillId="8" borderId="14" xfId="0" applyFont="1" applyFill="1" applyBorder="1" applyAlignment="1">
      <alignment horizontal="center" vertical="center"/>
    </xf>
    <xf numFmtId="0" fontId="7" fillId="8" borderId="15" xfId="0" applyFont="1" applyFill="1" applyBorder="1" applyAlignment="1">
      <alignment horizontal="center" vertical="center"/>
    </xf>
    <xf numFmtId="0" fontId="0" fillId="3" borderId="16" xfId="0" applyFill="1" applyBorder="1"/>
    <xf numFmtId="0" fontId="0" fillId="3" borderId="12" xfId="0" applyFill="1" applyBorder="1"/>
    <xf numFmtId="44" fontId="0" fillId="3" borderId="12" xfId="1" applyFont="1" applyFill="1" applyBorder="1"/>
    <xf numFmtId="14" fontId="0" fillId="3" borderId="12" xfId="0" applyNumberFormat="1" applyFill="1" applyBorder="1"/>
    <xf numFmtId="0" fontId="0" fillId="3" borderId="17" xfId="0" applyFill="1" applyBorder="1"/>
    <xf numFmtId="0" fontId="0" fillId="5" borderId="16" xfId="0" applyFill="1" applyBorder="1"/>
    <xf numFmtId="0" fontId="0" fillId="5" borderId="12" xfId="0" applyFill="1" applyBorder="1"/>
    <xf numFmtId="44" fontId="0" fillId="5" borderId="12" xfId="1" applyFont="1" applyFill="1" applyBorder="1"/>
    <xf numFmtId="14" fontId="0" fillId="5" borderId="12" xfId="0" applyNumberFormat="1" applyFill="1" applyBorder="1"/>
    <xf numFmtId="0" fontId="0" fillId="5" borderId="17" xfId="0" applyFill="1" applyBorder="1"/>
    <xf numFmtId="0" fontId="0" fillId="9" borderId="16" xfId="0" applyFill="1" applyBorder="1"/>
    <xf numFmtId="0" fontId="0" fillId="9" borderId="12" xfId="0" applyFill="1" applyBorder="1"/>
    <xf numFmtId="44" fontId="0" fillId="9" borderId="12" xfId="1" applyFont="1" applyFill="1" applyBorder="1"/>
    <xf numFmtId="14" fontId="0" fillId="9" borderId="12" xfId="0" applyNumberFormat="1" applyFill="1" applyBorder="1"/>
    <xf numFmtId="0" fontId="0" fillId="9" borderId="17" xfId="0" applyFill="1" applyBorder="1"/>
    <xf numFmtId="0" fontId="0" fillId="11" borderId="12" xfId="0" applyFill="1" applyBorder="1"/>
    <xf numFmtId="44" fontId="0" fillId="11" borderId="12" xfId="1" applyFont="1" applyFill="1" applyBorder="1"/>
    <xf numFmtId="14" fontId="0" fillId="11" borderId="12" xfId="0" applyNumberFormat="1" applyFill="1" applyBorder="1"/>
    <xf numFmtId="0" fontId="0" fillId="11" borderId="17" xfId="0" applyFill="1" applyBorder="1"/>
    <xf numFmtId="0" fontId="0" fillId="10" borderId="16" xfId="0" applyFill="1" applyBorder="1"/>
    <xf numFmtId="0" fontId="0" fillId="10" borderId="12" xfId="0" applyFill="1" applyBorder="1"/>
    <xf numFmtId="44" fontId="0" fillId="10" borderId="12" xfId="1" applyFont="1" applyFill="1" applyBorder="1"/>
    <xf numFmtId="14" fontId="0" fillId="10" borderId="12" xfId="0" applyNumberFormat="1" applyFill="1" applyBorder="1"/>
    <xf numFmtId="0" fontId="0" fillId="10" borderId="12" xfId="0" applyFill="1" applyBorder="1" applyAlignment="1">
      <alignment wrapText="1"/>
    </xf>
    <xf numFmtId="0" fontId="0" fillId="10" borderId="17" xfId="0" applyFill="1" applyBorder="1"/>
    <xf numFmtId="0" fontId="0" fillId="0" borderId="18" xfId="0" applyBorder="1"/>
    <xf numFmtId="0" fontId="0" fillId="0" borderId="19" xfId="0" applyBorder="1"/>
    <xf numFmtId="44" fontId="0" fillId="0" borderId="19" xfId="0" applyNumberFormat="1" applyBorder="1"/>
    <xf numFmtId="44" fontId="0" fillId="0" borderId="19" xfId="1" applyFont="1" applyBorder="1"/>
    <xf numFmtId="0" fontId="0" fillId="0" borderId="20" xfId="0" applyBorder="1"/>
    <xf numFmtId="0" fontId="9" fillId="3" borderId="1" xfId="0" applyFont="1" applyFill="1" applyBorder="1" applyAlignment="1">
      <alignment horizontal="center" vertical="center"/>
    </xf>
    <xf numFmtId="0" fontId="0" fillId="3" borderId="9" xfId="0" applyFill="1" applyBorder="1"/>
    <xf numFmtId="0" fontId="0" fillId="5" borderId="9" xfId="0" applyFill="1" applyBorder="1"/>
    <xf numFmtId="0" fontId="0" fillId="0" borderId="9" xfId="0" applyBorder="1"/>
    <xf numFmtId="0" fontId="0" fillId="13" borderId="9" xfId="0" applyFill="1" applyBorder="1"/>
    <xf numFmtId="0" fontId="0" fillId="18" borderId="2" xfId="0" applyFill="1" applyBorder="1"/>
    <xf numFmtId="0" fontId="2" fillId="3" borderId="1" xfId="0" applyFont="1" applyFill="1" applyBorder="1" applyAlignment="1">
      <alignment horizontal="center" vertical="center"/>
    </xf>
    <xf numFmtId="0" fontId="5" fillId="4" borderId="0" xfId="0" applyFont="1" applyFill="1"/>
    <xf numFmtId="0" fontId="3" fillId="3" borderId="12" xfId="0" applyFont="1" applyFill="1" applyBorder="1" applyAlignment="1">
      <alignment wrapText="1"/>
    </xf>
    <xf numFmtId="0" fontId="3" fillId="0" borderId="12" xfId="0" applyFont="1" applyBorder="1" applyAlignment="1">
      <alignment wrapText="1"/>
    </xf>
    <xf numFmtId="0" fontId="14" fillId="20" borderId="21" xfId="0" applyFont="1" applyFill="1" applyBorder="1" applyAlignment="1">
      <alignment horizontal="center" vertical="center" wrapText="1"/>
    </xf>
    <xf numFmtId="0" fontId="5" fillId="2" borderId="0" xfId="0" applyFont="1" applyFill="1"/>
    <xf numFmtId="0" fontId="8" fillId="4" borderId="0" xfId="0" applyFont="1" applyFill="1"/>
    <xf numFmtId="0" fontId="10" fillId="4" borderId="0" xfId="0" applyFont="1" applyFill="1"/>
    <xf numFmtId="44" fontId="5" fillId="4" borderId="0" xfId="0" applyNumberFormat="1" applyFont="1" applyFill="1"/>
    <xf numFmtId="0" fontId="15" fillId="0" borderId="25" xfId="0" applyFont="1" applyBorder="1" applyAlignment="1">
      <alignment horizontal="left" vertical="center" wrapText="1"/>
    </xf>
    <xf numFmtId="0" fontId="16" fillId="0" borderId="25" xfId="0" applyFont="1" applyBorder="1" applyAlignment="1">
      <alignment horizontal="left" vertical="top" wrapText="1"/>
    </xf>
    <xf numFmtId="0" fontId="16" fillId="0" borderId="0" xfId="0" applyFont="1" applyAlignment="1">
      <alignment horizontal="left" vertical="top" wrapText="1"/>
    </xf>
    <xf numFmtId="0" fontId="20" fillId="0" borderId="21" xfId="0" applyFont="1" applyBorder="1" applyAlignment="1">
      <alignment horizontal="left" vertical="center" wrapText="1"/>
    </xf>
    <xf numFmtId="0" fontId="22" fillId="0" borderId="0" xfId="0" applyFont="1" applyAlignment="1">
      <alignment wrapText="1"/>
    </xf>
    <xf numFmtId="0" fontId="19" fillId="7" borderId="25" xfId="0" applyFont="1" applyFill="1" applyBorder="1" applyAlignment="1">
      <alignment horizontal="left"/>
    </xf>
    <xf numFmtId="0" fontId="23" fillId="0" borderId="0" xfId="0" applyFont="1" applyAlignment="1">
      <alignment horizontal="left" vertical="center" indent="1"/>
    </xf>
    <xf numFmtId="0" fontId="17" fillId="0" borderId="0" xfId="0" applyFont="1"/>
    <xf numFmtId="0" fontId="3" fillId="7" borderId="12" xfId="0" applyFont="1" applyFill="1" applyBorder="1"/>
    <xf numFmtId="0" fontId="3" fillId="7" borderId="12" xfId="0" applyFont="1" applyFill="1" applyBorder="1" applyAlignment="1">
      <alignment wrapText="1"/>
    </xf>
    <xf numFmtId="0" fontId="24" fillId="20" borderId="11" xfId="0" applyFont="1" applyFill="1" applyBorder="1" applyAlignment="1">
      <alignment horizontal="center" vertical="center" wrapText="1"/>
    </xf>
    <xf numFmtId="0" fontId="0" fillId="0" borderId="11" xfId="0" applyBorder="1"/>
    <xf numFmtId="9" fontId="0" fillId="0" borderId="11" xfId="0" applyNumberFormat="1" applyBorder="1"/>
    <xf numFmtId="44" fontId="0" fillId="0" borderId="11" xfId="0" applyNumberFormat="1" applyBorder="1"/>
    <xf numFmtId="165" fontId="0" fillId="0" borderId="11" xfId="2" applyNumberFormat="1" applyFont="1" applyBorder="1"/>
    <xf numFmtId="0" fontId="25" fillId="0" borderId="21" xfId="0" applyFont="1" applyBorder="1" applyAlignment="1">
      <alignment horizontal="center" vertical="center" wrapText="1"/>
    </xf>
    <xf numFmtId="0" fontId="25" fillId="0" borderId="26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26" fillId="7" borderId="0" xfId="0" applyFont="1" applyFill="1" applyAlignment="1">
      <alignment horizontal="left"/>
    </xf>
    <xf numFmtId="0" fontId="27" fillId="21" borderId="11" xfId="0" applyFont="1" applyFill="1" applyBorder="1"/>
    <xf numFmtId="9" fontId="1" fillId="6" borderId="11" xfId="2" applyFill="1" applyBorder="1"/>
    <xf numFmtId="0" fontId="0" fillId="6" borderId="11" xfId="0" applyFill="1" applyBorder="1"/>
    <xf numFmtId="44" fontId="1" fillId="9" borderId="11" xfId="1" applyFill="1" applyBorder="1"/>
    <xf numFmtId="9" fontId="1" fillId="22" borderId="11" xfId="2" applyFill="1" applyBorder="1"/>
    <xf numFmtId="0" fontId="0" fillId="9" borderId="11" xfId="0" applyFill="1" applyBorder="1"/>
    <xf numFmtId="9" fontId="1" fillId="9" borderId="11" xfId="2" applyFill="1" applyBorder="1"/>
    <xf numFmtId="44" fontId="1" fillId="22" borderId="11" xfId="1" applyFill="1" applyBorder="1"/>
    <xf numFmtId="44" fontId="1" fillId="6" borderId="11" xfId="1" applyFill="1" applyBorder="1"/>
    <xf numFmtId="0" fontId="28" fillId="23" borderId="0" xfId="0" applyFont="1" applyFill="1" applyAlignment="1">
      <alignment horizontal="center" vertical="center"/>
    </xf>
    <xf numFmtId="166" fontId="28" fillId="23" borderId="0" xfId="0" applyNumberFormat="1" applyFont="1" applyFill="1" applyAlignment="1">
      <alignment horizontal="center" vertical="center"/>
    </xf>
    <xf numFmtId="165" fontId="29" fillId="25" borderId="21" xfId="0" applyNumberFormat="1" applyFont="1" applyFill="1" applyBorder="1" applyAlignment="1">
      <alignment horizontal="center" vertical="center" wrapText="1"/>
    </xf>
    <xf numFmtId="44" fontId="0" fillId="0" borderId="0" xfId="1" applyFont="1"/>
    <xf numFmtId="44" fontId="0" fillId="0" borderId="11" xfId="1" applyFont="1" applyBorder="1"/>
    <xf numFmtId="44" fontId="0" fillId="6" borderId="11" xfId="0" applyNumberFormat="1" applyFill="1" applyBorder="1"/>
    <xf numFmtId="44" fontId="0" fillId="9" borderId="11" xfId="0" applyNumberFormat="1" applyFill="1" applyBorder="1"/>
    <xf numFmtId="44" fontId="1" fillId="16" borderId="11" xfId="1" applyFill="1" applyBorder="1"/>
    <xf numFmtId="0" fontId="0" fillId="22" borderId="11" xfId="0" applyFill="1" applyBorder="1"/>
    <xf numFmtId="0" fontId="10" fillId="26" borderId="11" xfId="0" applyFont="1" applyFill="1" applyBorder="1"/>
    <xf numFmtId="0" fontId="5" fillId="0" borderId="27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vertical="center"/>
    </xf>
    <xf numFmtId="6" fontId="0" fillId="0" borderId="11" xfId="0" applyNumberFormat="1" applyBorder="1"/>
    <xf numFmtId="44" fontId="0" fillId="0" borderId="11" xfId="1" applyFont="1" applyBorder="1" applyAlignment="1">
      <alignment vertical="center"/>
    </xf>
    <xf numFmtId="0" fontId="0" fillId="0" borderId="28" xfId="0" applyBorder="1"/>
    <xf numFmtId="0" fontId="0" fillId="0" borderId="29" xfId="0" applyBorder="1"/>
    <xf numFmtId="0" fontId="0" fillId="27" borderId="0" xfId="0" applyFill="1" applyAlignment="1">
      <alignment horizontal="center"/>
    </xf>
    <xf numFmtId="0" fontId="31" fillId="19" borderId="13" xfId="0" applyFont="1" applyFill="1" applyBorder="1" applyAlignment="1">
      <alignment wrapText="1"/>
    </xf>
    <xf numFmtId="0" fontId="31" fillId="19" borderId="14" xfId="0" applyFont="1" applyFill="1" applyBorder="1" applyAlignment="1">
      <alignment wrapText="1"/>
    </xf>
    <xf numFmtId="0" fontId="32" fillId="3" borderId="16" xfId="0" applyFont="1" applyFill="1" applyBorder="1"/>
    <xf numFmtId="0" fontId="32" fillId="3" borderId="12" xfId="0" applyFont="1" applyFill="1" applyBorder="1"/>
    <xf numFmtId="14" fontId="32" fillId="3" borderId="12" xfId="0" applyNumberFormat="1" applyFont="1" applyFill="1" applyBorder="1"/>
    <xf numFmtId="44" fontId="32" fillId="3" borderId="12" xfId="1" applyFont="1" applyFill="1" applyBorder="1"/>
    <xf numFmtId="164" fontId="32" fillId="3" borderId="12" xfId="1" applyNumberFormat="1" applyFont="1" applyFill="1" applyBorder="1"/>
    <xf numFmtId="0" fontId="32" fillId="7" borderId="16" xfId="0" applyFont="1" applyFill="1" applyBorder="1"/>
    <xf numFmtId="0" fontId="32" fillId="7" borderId="12" xfId="0" applyFont="1" applyFill="1" applyBorder="1"/>
    <xf numFmtId="14" fontId="32" fillId="7" borderId="12" xfId="0" applyNumberFormat="1" applyFont="1" applyFill="1" applyBorder="1"/>
    <xf numFmtId="44" fontId="32" fillId="7" borderId="12" xfId="1" applyFont="1" applyFill="1" applyBorder="1"/>
    <xf numFmtId="164" fontId="32" fillId="7" borderId="12" xfId="1" applyNumberFormat="1" applyFont="1" applyFill="1" applyBorder="1"/>
    <xf numFmtId="0" fontId="32" fillId="0" borderId="16" xfId="0" applyFont="1" applyBorder="1"/>
    <xf numFmtId="0" fontId="32" fillId="0" borderId="12" xfId="0" applyFont="1" applyBorder="1"/>
    <xf numFmtId="14" fontId="32" fillId="0" borderId="12" xfId="0" applyNumberFormat="1" applyFont="1" applyBorder="1"/>
    <xf numFmtId="44" fontId="32" fillId="0" borderId="12" xfId="1" applyFont="1" applyBorder="1"/>
    <xf numFmtId="164" fontId="32" fillId="0" borderId="12" xfId="1" applyNumberFormat="1" applyFont="1" applyBorder="1"/>
    <xf numFmtId="0" fontId="33" fillId="17" borderId="18" xfId="0" applyFont="1" applyFill="1" applyBorder="1" applyAlignment="1">
      <alignment horizontal="center" vertical="center"/>
    </xf>
    <xf numFmtId="0" fontId="33" fillId="17" borderId="19" xfId="0" applyFont="1" applyFill="1" applyBorder="1" applyAlignment="1">
      <alignment horizontal="center" vertical="center"/>
    </xf>
    <xf numFmtId="14" fontId="33" fillId="17" borderId="19" xfId="0" applyNumberFormat="1" applyFont="1" applyFill="1" applyBorder="1" applyAlignment="1">
      <alignment horizontal="center" vertical="center"/>
    </xf>
    <xf numFmtId="164" fontId="33" fillId="17" borderId="19" xfId="0" applyNumberFormat="1" applyFont="1" applyFill="1" applyBorder="1" applyAlignment="1">
      <alignment horizontal="center" vertical="center"/>
    </xf>
    <xf numFmtId="17" fontId="0" fillId="3" borderId="12" xfId="0" applyNumberFormat="1" applyFill="1" applyBorder="1"/>
    <xf numFmtId="17" fontId="0" fillId="5" borderId="12" xfId="0" applyNumberFormat="1" applyFill="1" applyBorder="1"/>
    <xf numFmtId="17" fontId="0" fillId="9" borderId="12" xfId="0" applyNumberFormat="1" applyFill="1" applyBorder="1"/>
    <xf numFmtId="17" fontId="0" fillId="11" borderId="12" xfId="0" applyNumberFormat="1" applyFill="1" applyBorder="1"/>
    <xf numFmtId="17" fontId="0" fillId="10" borderId="12" xfId="0" applyNumberFormat="1" applyFill="1" applyBorder="1"/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5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0" fillId="9" borderId="0" xfId="0" applyFill="1" applyAlignment="1">
      <alignment horizontal="center"/>
    </xf>
    <xf numFmtId="0" fontId="11" fillId="14" borderId="10" xfId="0" applyFont="1" applyFill="1" applyBorder="1" applyAlignment="1">
      <alignment horizontal="center"/>
    </xf>
    <xf numFmtId="0" fontId="5" fillId="14" borderId="0" xfId="0" applyFont="1" applyFill="1"/>
    <xf numFmtId="0" fontId="13" fillId="2" borderId="0" xfId="0" applyFont="1" applyFill="1" applyAlignment="1">
      <alignment horizontal="center"/>
    </xf>
    <xf numFmtId="0" fontId="12" fillId="19" borderId="0" xfId="0" applyFont="1" applyFill="1" applyAlignment="1">
      <alignment horizontal="center"/>
    </xf>
    <xf numFmtId="0" fontId="10" fillId="19" borderId="0" xfId="0" applyFont="1" applyFill="1" applyAlignment="1">
      <alignment horizontal="center"/>
    </xf>
    <xf numFmtId="0" fontId="17" fillId="2" borderId="0" xfId="0" applyFont="1" applyFill="1"/>
    <xf numFmtId="0" fontId="21" fillId="0" borderId="22" xfId="0" applyFont="1" applyBorder="1" applyAlignment="1">
      <alignment horizontal="left" vertical="top" wrapText="1"/>
    </xf>
    <xf numFmtId="0" fontId="21" fillId="0" borderId="24" xfId="0" applyFont="1" applyBorder="1" applyAlignment="1">
      <alignment horizontal="left" vertical="top" wrapText="1"/>
    </xf>
    <xf numFmtId="0" fontId="18" fillId="7" borderId="23" xfId="0" applyFont="1" applyFill="1" applyBorder="1" applyAlignment="1">
      <alignment horizontal="left" vertical="top"/>
    </xf>
    <xf numFmtId="0" fontId="19" fillId="7" borderId="25" xfId="0" applyFont="1" applyFill="1" applyBorder="1" applyAlignment="1">
      <alignment horizontal="left"/>
    </xf>
    <xf numFmtId="0" fontId="30" fillId="26" borderId="0" xfId="0" applyFont="1" applyFill="1" applyAlignment="1">
      <alignment horizontal="center"/>
    </xf>
    <xf numFmtId="0" fontId="5" fillId="26" borderId="0" xfId="0" applyFont="1" applyFill="1" applyAlignment="1">
      <alignment horizontal="center"/>
    </xf>
    <xf numFmtId="0" fontId="13" fillId="26" borderId="0" xfId="0" applyFont="1" applyFill="1" applyAlignment="1">
      <alignment horizontal="center"/>
    </xf>
    <xf numFmtId="0" fontId="0" fillId="27" borderId="0" xfId="0" applyFill="1" applyAlignment="1">
      <alignment horizontal="center"/>
    </xf>
    <xf numFmtId="0" fontId="12" fillId="26" borderId="0" xfId="0" applyFont="1" applyFill="1" applyAlignment="1">
      <alignment horizontal="center"/>
    </xf>
    <xf numFmtId="0" fontId="10" fillId="26" borderId="0" xfId="0" applyFont="1" applyFill="1" applyAlignment="1">
      <alignment horizontal="center"/>
    </xf>
    <xf numFmtId="0" fontId="10" fillId="26" borderId="27" xfId="0" applyFont="1" applyFill="1" applyBorder="1" applyAlignment="1">
      <alignment horizontal="center"/>
    </xf>
    <xf numFmtId="165" fontId="5" fillId="4" borderId="0" xfId="0" applyNumberFormat="1" applyFont="1" applyFill="1"/>
    <xf numFmtId="0" fontId="34" fillId="21" borderId="0" xfId="0" applyFont="1" applyFill="1" applyAlignment="1">
      <alignment wrapText="1"/>
    </xf>
    <xf numFmtId="0" fontId="35" fillId="24" borderId="21" xfId="0" applyFont="1" applyFill="1" applyBorder="1" applyAlignment="1">
      <alignment horizontal="center" vertical="center" wrapText="1"/>
    </xf>
  </cellXfs>
  <cellStyles count="3">
    <cellStyle name="Currency" xfId="1" builtinId="4"/>
    <cellStyle name="Normal" xfId="0" builtinId="0"/>
    <cellStyle name="Percent" xfId="2" builtinId="5"/>
  </cellStyles>
  <dxfs count="1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5" formatCode="0.0%"/>
      <fill>
        <patternFill patternType="solid">
          <fgColor indexed="64"/>
          <bgColor theme="4" tint="0.39997558519241921"/>
        </patternFill>
      </fill>
    </dxf>
    <dxf>
      <fill>
        <patternFill>
          <bgColor theme="7" tint="0.39994506668294322"/>
        </patternFill>
      </fill>
    </dxf>
    <dxf>
      <fill>
        <patternFill patternType="solid">
          <bgColor rgb="FFFF5050"/>
        </patternFill>
      </fill>
      <border>
        <left/>
        <right/>
        <top/>
        <bottom/>
        <vertical/>
        <horizontal/>
      </border>
    </dxf>
    <dxf>
      <fill>
        <patternFill>
          <bgColor rgb="FFEC6666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EC6666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FF66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4" formatCode="_ &quot;₹&quot;\ * #,##0.00_ ;_ &quot;₹&quot;\ * \-#,##0.00_ ;_ &quot;₹&quot;\ * &quot;-&quot;??_ ;_ @_ "/>
      <fill>
        <patternFill patternType="solid">
          <fgColor indexed="64"/>
          <bgColor theme="4" tint="0.39997558519241921"/>
        </patternFill>
      </fill>
    </dxf>
    <dxf>
      <numFmt numFmtId="34" formatCode="_ &quot;₹&quot;\ * #,##0.00_ ;_ &quot;₹&quot;\ * \-#,##0.00_ ;_ &quot;₹&quot;\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34" formatCode="_ &quot;₹&quot;\ * #,##0.00_ ;_ &quot;₹&quot;\ * \-#,##0.00_ ;_ &quot;₹&quot;\ * &quot;-&quot;??_ ;_ @_ "/>
      <fill>
        <patternFill patternType="solid">
          <fgColor indexed="64"/>
          <bgColor theme="4" tint="0.39997558519241921"/>
        </patternFill>
      </fill>
    </dxf>
    <dxf>
      <numFmt numFmtId="34" formatCode="_ &quot;₹&quot;\ * #,##0.00_ ;_ &quot;₹&quot;\ * \-#,##0.00_ ;_ &quot;₹&quot;\ 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</dxf>
    <dxf>
      <numFmt numFmtId="0" formatCode="General"/>
    </dxf>
    <dxf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</dxf>
    <dxf>
      <font>
        <b/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</dxf>
    <dxf>
      <font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7030A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hair">
          <color theme="0" tint="-0.34998626667073579"/>
        </left>
        <right/>
        <top style="hair">
          <color theme="0" tint="-0.34998626667073579"/>
        </top>
        <bottom/>
      </border>
    </dxf>
    <dxf>
      <numFmt numFmtId="0" formatCode="General"/>
      <border diagonalUp="0" diagonalDown="0">
        <left style="hair">
          <color theme="0" tint="-0.34998626667073579"/>
        </left>
        <right/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hair">
          <color theme="0" tint="-0.34998626667073579"/>
        </left>
        <right style="hair">
          <color theme="0" tint="-0.34998626667073579"/>
        </right>
        <top style="hair">
          <color theme="0" tint="-0.34998626667073579"/>
        </top>
        <bottom/>
      </border>
    </dxf>
    <dxf>
      <border diagonalUp="0" diagonalDown="0">
        <left style="hair">
          <color theme="0" tint="-0.34998626667073579"/>
        </left>
        <right style="hair">
          <color theme="0" tint="-0.34998626667073579"/>
        </righ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 diagonalUp="0" diagonalDown="0" outline="0">
        <left style="hair">
          <color theme="0" tint="-0.34998626667073579"/>
        </left>
        <right style="hair">
          <color theme="0" tint="-0.34998626667073579"/>
        </right>
        <top style="hair">
          <color theme="0" tint="-0.34998626667073579"/>
        </top>
        <bottom/>
      </border>
    </dxf>
    <dxf>
      <numFmt numFmtId="0" formatCode="General"/>
      <border diagonalUp="0" diagonalDown="0">
        <left style="hair">
          <color theme="0" tint="-0.34998626667073579"/>
        </left>
        <right style="hair">
          <color theme="0" tint="-0.34998626667073579"/>
        </righ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 diagonalUp="0" diagonalDown="0" outline="0">
        <left style="hair">
          <color theme="0" tint="-0.34998626667073579"/>
        </left>
        <right style="hair">
          <color theme="0" tint="-0.34998626667073579"/>
        </right>
        <top style="hair">
          <color theme="0" tint="-0.34998626667073579"/>
        </top>
        <bottom/>
      </border>
    </dxf>
    <dxf>
      <numFmt numFmtId="0" formatCode="General"/>
      <border diagonalUp="0" diagonalDown="0">
        <left style="hair">
          <color theme="0" tint="-0.34998626667073579"/>
        </left>
        <right style="hair">
          <color theme="0" tint="-0.34998626667073579"/>
        </righ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 diagonalUp="0" diagonalDown="0" outline="0">
        <left style="hair">
          <color theme="0" tint="-0.34998626667073579"/>
        </left>
        <right style="hair">
          <color theme="0" tint="-0.34998626667073579"/>
        </right>
        <top style="hair">
          <color theme="0" tint="-0.34998626667073579"/>
        </top>
        <bottom/>
      </border>
    </dxf>
    <dxf>
      <border diagonalUp="0" diagonalDown="0">
        <left style="hair">
          <color theme="0" tint="-0.34998626667073579"/>
        </left>
        <right style="hair">
          <color theme="0" tint="-0.34998626667073579"/>
        </righ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 diagonalUp="0" diagonalDown="0" outline="0">
        <left style="hair">
          <color theme="0" tint="-0.34998626667073579"/>
        </left>
        <right style="hair">
          <color theme="0" tint="-0.34998626667073579"/>
        </right>
        <top style="hair">
          <color theme="0" tint="-0.34998626667073579"/>
        </top>
        <bottom/>
      </border>
    </dxf>
    <dxf>
      <numFmt numFmtId="19" formatCode="dd/mm/yyyy"/>
      <border diagonalUp="0" diagonalDown="0">
        <left style="hair">
          <color theme="0" tint="-0.34998626667073579"/>
        </left>
        <right style="hair">
          <color theme="0" tint="-0.34998626667073579"/>
        </righ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numFmt numFmtId="34" formatCode="_ &quot;₹&quot;\ * #,##0.00_ ;_ &quot;₹&quot;\ * \-#,##0.00_ ;_ &quot;₹&quot;\ * &quot;-&quot;??_ ;_ @_ "/>
      <border diagonalUp="0" diagonalDown="0" outline="0">
        <left style="hair">
          <color theme="0" tint="-0.34998626667073579"/>
        </left>
        <right style="hair">
          <color theme="0" tint="-0.34998626667073579"/>
        </right>
        <top style="hair">
          <color theme="0" tint="-0.34998626667073579"/>
        </top>
        <bottom/>
      </border>
    </dxf>
    <dxf>
      <border diagonalUp="0" diagonalDown="0">
        <left style="hair">
          <color theme="0" tint="-0.34998626667073579"/>
        </left>
        <right style="hair">
          <color theme="0" tint="-0.34998626667073579"/>
        </righ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numFmt numFmtId="34" formatCode="_ &quot;₹&quot;\ * #,##0.00_ ;_ &quot;₹&quot;\ * \-#,##0.00_ ;_ &quot;₹&quot;\ * &quot;-&quot;??_ ;_ @_ "/>
      <border diagonalUp="0" diagonalDown="0" outline="0">
        <left style="hair">
          <color theme="0" tint="-0.34998626667073579"/>
        </left>
        <right style="hair">
          <color theme="0" tint="-0.34998626667073579"/>
        </right>
        <top style="hair">
          <color theme="0" tint="-0.34998626667073579"/>
        </top>
        <bottom/>
      </border>
    </dxf>
    <dxf>
      <border diagonalUp="0" diagonalDown="0">
        <left style="hair">
          <color theme="0" tint="-0.34998626667073579"/>
        </left>
        <right style="hair">
          <color theme="0" tint="-0.34998626667073579"/>
        </righ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 diagonalUp="0" diagonalDown="0" outline="0">
        <left style="hair">
          <color theme="0" tint="-0.34998626667073579"/>
        </left>
        <right style="hair">
          <color theme="0" tint="-0.34998626667073579"/>
        </right>
        <top style="hair">
          <color theme="0" tint="-0.34998626667073579"/>
        </top>
        <bottom/>
      </border>
    </dxf>
    <dxf>
      <numFmt numFmtId="22" formatCode="mmm/yy"/>
      <border diagonalUp="0" diagonalDown="0">
        <left style="hair">
          <color theme="0" tint="-0.34998626667073579"/>
        </left>
        <right style="hair">
          <color theme="0" tint="-0.34998626667073579"/>
        </righ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 diagonalUp="0" diagonalDown="0" outline="0">
        <left style="hair">
          <color theme="0" tint="-0.34998626667073579"/>
        </left>
        <right style="hair">
          <color theme="0" tint="-0.34998626667073579"/>
        </right>
        <top style="hair">
          <color theme="0" tint="-0.34998626667073579"/>
        </top>
        <bottom/>
      </border>
    </dxf>
    <dxf>
      <border diagonalUp="0" diagonalDown="0">
        <left style="hair">
          <color theme="0" tint="-0.34998626667073579"/>
        </left>
        <right style="hair">
          <color theme="0" tint="-0.34998626667073579"/>
        </righ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 diagonalUp="0" diagonalDown="0" outline="0">
        <left/>
        <right style="hair">
          <color theme="0" tint="-0.34998626667073579"/>
        </right>
        <top style="hair">
          <color theme="0" tint="-0.34998626667073579"/>
        </top>
        <bottom/>
      </border>
    </dxf>
    <dxf>
      <border diagonalUp="0" diagonalDown="0">
        <left/>
        <right style="hair">
          <color theme="0" tint="-0.34998626667073579"/>
        </right>
        <top style="hair">
          <color theme="0" tint="-0.34998626667073579"/>
        </top>
        <bottom style="hair">
          <color theme="0" tint="-0.34998626667073579"/>
        </bottom>
        <vertical style="hair">
          <color theme="0" tint="-0.34998626667073579"/>
        </vertical>
        <horizontal style="hair">
          <color theme="0" tint="-0.34998626667073579"/>
        </horizontal>
      </border>
    </dxf>
    <dxf>
      <border>
        <top style="hair">
          <color theme="0" tint="-0.34998626667073579"/>
        </top>
      </border>
    </dxf>
    <dxf>
      <border diagonalUp="0" diagonalDown="0">
        <left style="hair">
          <color theme="0" tint="-0.34998626667073579"/>
        </left>
        <right style="hair">
          <color theme="0" tint="-0.34998626667073579"/>
        </right>
        <top/>
        <bottom/>
        <vertical style="hair">
          <color theme="0" tint="-0.34998626667073579"/>
        </vertical>
        <horizontal style="hair">
          <color theme="0" tint="-0.34998626667073579"/>
        </horizontal>
      </border>
    </dxf>
    <dxf>
      <border diagonalUp="0" diagonalDown="0">
        <left style="hair">
          <color theme="0" tint="-0.34998626667073579"/>
        </left>
        <right style="hair">
          <color theme="0" tint="-0.34998626667073579"/>
        </right>
        <top style="hair">
          <color theme="0" tint="-0.34998626667073579"/>
        </top>
        <bottom style="hair">
          <color theme="0" tint="-0.34998626667073579"/>
        </bottom>
      </border>
    </dxf>
    <dxf>
      <border>
        <bottom style="hair">
          <color theme="0" tint="-0.34998626667073579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9" tint="-0.499984740745262"/>
        </patternFill>
      </fill>
      <border diagonalUp="0" diagonalDown="0">
        <left style="hair">
          <color theme="0" tint="-0.34998626667073579"/>
        </left>
        <right style="hair">
          <color theme="0" tint="-0.34998626667073579"/>
        </right>
        <top/>
        <bottom/>
        <vertical style="hair">
          <color theme="0" tint="-0.34998626667073579"/>
        </vertical>
        <horizontal style="hair">
          <color theme="0" tint="-0.3499862666707357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0"/>
        <name val="Calibri"/>
        <family val="2"/>
        <scheme val="minor"/>
      </font>
      <numFmt numFmtId="164" formatCode="_ [$₹-4009]\ * #,##0.00_ ;_ [$₹-4009]\ * \-#,##0.00_ ;_ [$₹-4009]\ * &quot;-&quot;??_ ;_ @_ "/>
      <fill>
        <patternFill patternType="solid">
          <fgColor indexed="64"/>
          <bgColor theme="8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theme="0" tint="-0.34998626667073579"/>
        </left>
        <right style="hair">
          <color theme="0" tint="-0.34998626667073579"/>
        </right>
        <top style="hair">
          <color theme="0" tint="-0.34998626667073579"/>
        </top>
        <bottom/>
      </border>
    </dxf>
    <dxf>
      <font>
        <b val="0"/>
        <strike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border diagonalUp="0" diagonalDown="0" outline="0">
        <left style="hair">
          <color theme="0" tint="-0.34998626667073579"/>
        </left>
        <right style="hair">
          <color theme="0" tint="-0.34998626667073579"/>
        </right>
        <top style="hair">
          <color theme="0" tint="-0.34998626667073579"/>
        </top>
        <bottom style="hair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0"/>
        <name val="Calibri"/>
        <family val="2"/>
        <scheme val="minor"/>
      </font>
      <numFmt numFmtId="164" formatCode="_ [$₹-4009]\ * #,##0.00_ ;_ [$₹-4009]\ * \-#,##0.00_ ;_ [$₹-4009]\ * &quot;-&quot;??_ ;_ @_ "/>
      <fill>
        <patternFill patternType="solid">
          <fgColor indexed="64"/>
          <bgColor theme="8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theme="0" tint="-0.34998626667073579"/>
        </left>
        <right style="hair">
          <color theme="0" tint="-0.34998626667073579"/>
        </right>
        <top style="hair">
          <color theme="0" tint="-0.34998626667073579"/>
        </top>
        <bottom/>
      </border>
    </dxf>
    <dxf>
      <font>
        <b val="0"/>
        <strike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border diagonalUp="0" diagonalDown="0" outline="0">
        <left style="hair">
          <color theme="0" tint="-0.34998626667073579"/>
        </left>
        <right style="hair">
          <color theme="0" tint="-0.34998626667073579"/>
        </right>
        <top style="hair">
          <color theme="0" tint="-0.34998626667073579"/>
        </top>
        <bottom style="hair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0"/>
        <name val="Calibri"/>
        <family val="2"/>
        <scheme val="minor"/>
      </font>
      <fill>
        <patternFill patternType="solid">
          <fgColor indexed="64"/>
          <bgColor theme="8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theme="0" tint="-0.34998626667073579"/>
        </left>
        <right style="hair">
          <color theme="0" tint="-0.34998626667073579"/>
        </right>
        <top style="hair">
          <color theme="0" tint="-0.34998626667073579"/>
        </top>
        <bottom/>
      </border>
    </dxf>
    <dxf>
      <font>
        <b val="0"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textRotation="0" wrapText="1" indent="0" justifyLastLine="0" shrinkToFit="0" readingOrder="0"/>
      <border diagonalUp="0" diagonalDown="0" outline="0">
        <left style="hair">
          <color theme="0" tint="-0.34998626667073579"/>
        </left>
        <right style="hair">
          <color theme="0" tint="-0.34998626667073579"/>
        </right>
        <top style="hair">
          <color theme="0" tint="-0.34998626667073579"/>
        </top>
        <bottom style="hair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0"/>
        <name val="Calibri"/>
        <family val="2"/>
        <scheme val="minor"/>
      </font>
      <fill>
        <patternFill patternType="solid">
          <fgColor indexed="64"/>
          <bgColor theme="8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theme="0" tint="-0.34998626667073579"/>
        </left>
        <right style="hair">
          <color theme="0" tint="-0.34998626667073579"/>
        </right>
        <top style="hair">
          <color theme="0" tint="-0.34998626667073579"/>
        </top>
        <bottom/>
      </border>
    </dxf>
    <dxf>
      <font>
        <b val="0"/>
        <strike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border diagonalUp="0" diagonalDown="0" outline="0">
        <left style="hair">
          <color theme="0" tint="-0.34998626667073579"/>
        </left>
        <right style="hair">
          <color theme="0" tint="-0.34998626667073579"/>
        </right>
        <top style="hair">
          <color theme="0" tint="-0.34998626667073579"/>
        </top>
        <bottom style="hair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0"/>
        <name val="Calibri"/>
        <family val="2"/>
        <scheme val="minor"/>
      </font>
      <fill>
        <patternFill patternType="solid">
          <fgColor indexed="64"/>
          <bgColor theme="8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theme="0" tint="-0.34998626667073579"/>
        </left>
        <right style="hair">
          <color theme="0" tint="-0.34998626667073579"/>
        </right>
        <top style="hair">
          <color theme="0" tint="-0.34998626667073579"/>
        </top>
        <bottom/>
      </border>
    </dxf>
    <dxf>
      <font>
        <b val="0"/>
        <strike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numFmt numFmtId="164" formatCode="_ [$₹-4009]\ * #,##0.00_ ;_ [$₹-4009]\ * \-#,##0.00_ ;_ [$₹-4009]\ * &quot;-&quot;??_ ;_ @_ "/>
      <border diagonalUp="0" diagonalDown="0" outline="0">
        <left style="hair">
          <color theme="0" tint="-0.34998626667073579"/>
        </left>
        <right style="hair">
          <color theme="0" tint="-0.34998626667073579"/>
        </right>
        <top style="hair">
          <color theme="0" tint="-0.34998626667073579"/>
        </top>
        <bottom style="hair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0"/>
        <name val="Calibri"/>
        <family val="2"/>
        <scheme val="minor"/>
      </font>
      <fill>
        <patternFill patternType="solid">
          <fgColor indexed="64"/>
          <bgColor theme="8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theme="0" tint="-0.34998626667073579"/>
        </left>
        <right style="hair">
          <color theme="0" tint="-0.34998626667073579"/>
        </right>
        <top style="hair">
          <color theme="0" tint="-0.34998626667073579"/>
        </top>
        <bottom/>
      </border>
    </dxf>
    <dxf>
      <font>
        <b val="0"/>
        <strike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border diagonalUp="0" diagonalDown="0" outline="0">
        <left style="hair">
          <color theme="0" tint="-0.34998626667073579"/>
        </left>
        <right style="hair">
          <color theme="0" tint="-0.34998626667073579"/>
        </right>
        <top style="hair">
          <color theme="0" tint="-0.34998626667073579"/>
        </top>
        <bottom style="hair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0"/>
        <name val="Calibri"/>
        <family val="2"/>
        <scheme val="minor"/>
      </font>
      <numFmt numFmtId="164" formatCode="_ [$₹-4009]\ * #,##0.00_ ;_ [$₹-4009]\ * \-#,##0.00_ ;_ [$₹-4009]\ * &quot;-&quot;??_ ;_ @_ "/>
      <fill>
        <patternFill patternType="solid">
          <fgColor indexed="64"/>
          <bgColor theme="8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theme="0" tint="-0.34998626667073579"/>
        </left>
        <right style="hair">
          <color theme="0" tint="-0.34998626667073579"/>
        </right>
        <top style="hair">
          <color theme="0" tint="-0.34998626667073579"/>
        </top>
        <bottom/>
      </border>
    </dxf>
    <dxf>
      <font>
        <b val="0"/>
        <strike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border diagonalUp="0" diagonalDown="0" outline="0">
        <left style="hair">
          <color theme="0" tint="-0.34998626667073579"/>
        </left>
        <right style="hair">
          <color theme="0" tint="-0.34998626667073579"/>
        </right>
        <top style="hair">
          <color theme="0" tint="-0.34998626667073579"/>
        </top>
        <bottom style="hair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0"/>
        <name val="Calibri"/>
        <family val="2"/>
        <scheme val="minor"/>
      </font>
      <fill>
        <patternFill patternType="solid">
          <fgColor indexed="64"/>
          <bgColor theme="8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theme="0" tint="-0.34998626667073579"/>
        </left>
        <right style="hair">
          <color theme="0" tint="-0.34998626667073579"/>
        </right>
        <top style="hair">
          <color theme="0" tint="-0.34998626667073579"/>
        </top>
        <bottom/>
      </border>
    </dxf>
    <dxf>
      <font>
        <b val="0"/>
        <strike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border diagonalUp="0" diagonalDown="0" outline="0">
        <left style="hair">
          <color theme="0" tint="-0.34998626667073579"/>
        </left>
        <right style="hair">
          <color theme="0" tint="-0.34998626667073579"/>
        </right>
        <top style="hair">
          <color theme="0" tint="-0.34998626667073579"/>
        </top>
        <bottom style="hair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0"/>
        <name val="Calibri"/>
        <family val="2"/>
        <scheme val="minor"/>
      </font>
      <fill>
        <patternFill patternType="solid">
          <fgColor indexed="64"/>
          <bgColor theme="8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theme="0" tint="-0.34998626667073579"/>
        </left>
        <right style="hair">
          <color theme="0" tint="-0.34998626667073579"/>
        </right>
        <top style="hair">
          <color theme="0" tint="-0.34998626667073579"/>
        </top>
        <bottom/>
      </border>
    </dxf>
    <dxf>
      <font>
        <b val="0"/>
        <strike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numFmt numFmtId="19" formatCode="dd/mm/yyyy"/>
      <border diagonalUp="0" diagonalDown="0" outline="0">
        <left style="hair">
          <color theme="0" tint="-0.34998626667073579"/>
        </left>
        <right style="hair">
          <color theme="0" tint="-0.34998626667073579"/>
        </right>
        <top style="hair">
          <color theme="0" tint="-0.34998626667073579"/>
        </top>
        <bottom style="hair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0"/>
        <name val="Calibri"/>
        <family val="2"/>
        <scheme val="minor"/>
      </font>
      <numFmt numFmtId="19" formatCode="dd/mm/yyyy"/>
      <fill>
        <patternFill patternType="solid">
          <fgColor indexed="64"/>
          <bgColor theme="8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theme="0" tint="-0.34998626667073579"/>
        </left>
        <right style="hair">
          <color theme="0" tint="-0.34998626667073579"/>
        </right>
        <top style="hair">
          <color theme="0" tint="-0.34998626667073579"/>
        </top>
        <bottom/>
      </border>
    </dxf>
    <dxf>
      <font>
        <b val="0"/>
        <strike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numFmt numFmtId="19" formatCode="dd/mm/yyyy"/>
      <border diagonalUp="0" diagonalDown="0" outline="0">
        <left style="hair">
          <color theme="0" tint="-0.34998626667073579"/>
        </left>
        <right style="hair">
          <color theme="0" tint="-0.34998626667073579"/>
        </right>
        <top style="hair">
          <color theme="0" tint="-0.34998626667073579"/>
        </top>
        <bottom style="hair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0"/>
        <name val="Calibri"/>
        <family val="2"/>
        <scheme val="minor"/>
      </font>
      <fill>
        <patternFill patternType="solid">
          <fgColor indexed="64"/>
          <bgColor theme="8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theme="0" tint="-0.34998626667073579"/>
        </left>
        <right style="hair">
          <color theme="0" tint="-0.34998626667073579"/>
        </right>
        <top style="hair">
          <color theme="0" tint="-0.34998626667073579"/>
        </top>
        <bottom/>
      </border>
    </dxf>
    <dxf>
      <font>
        <b val="0"/>
        <strike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border diagonalUp="0" diagonalDown="0" outline="0">
        <left style="hair">
          <color theme="0" tint="-0.34998626667073579"/>
        </left>
        <right style="hair">
          <color theme="0" tint="-0.34998626667073579"/>
        </right>
        <top style="hair">
          <color theme="0" tint="-0.34998626667073579"/>
        </top>
        <bottom style="hair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0"/>
        <name val="Calibri"/>
        <family val="2"/>
        <scheme val="minor"/>
      </font>
      <fill>
        <patternFill patternType="solid">
          <fgColor indexed="64"/>
          <bgColor theme="8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theme="0" tint="-0.34998626667073579"/>
        </left>
        <right style="hair">
          <color theme="0" tint="-0.34998626667073579"/>
        </right>
        <top style="hair">
          <color theme="0" tint="-0.34998626667073579"/>
        </top>
        <bottom/>
      </border>
    </dxf>
    <dxf>
      <font>
        <b val="0"/>
        <strike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border diagonalUp="0" diagonalDown="0" outline="0">
        <left style="hair">
          <color theme="0" tint="-0.34998626667073579"/>
        </left>
        <right style="hair">
          <color theme="0" tint="-0.34998626667073579"/>
        </right>
        <top style="hair">
          <color theme="0" tint="-0.34998626667073579"/>
        </top>
        <bottom style="hair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0"/>
        <name val="Calibri"/>
        <family val="2"/>
        <scheme val="minor"/>
      </font>
      <fill>
        <patternFill patternType="solid">
          <fgColor indexed="64"/>
          <bgColor theme="8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theme="0" tint="-0.34998626667073579"/>
        </left>
        <right style="hair">
          <color theme="0" tint="-0.34998626667073579"/>
        </right>
        <top style="hair">
          <color theme="0" tint="-0.34998626667073579"/>
        </top>
        <bottom/>
      </border>
    </dxf>
    <dxf>
      <font>
        <b val="0"/>
        <strike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border diagonalUp="0" diagonalDown="0" outline="0">
        <left style="hair">
          <color theme="0" tint="-0.34998626667073579"/>
        </left>
        <right style="hair">
          <color theme="0" tint="-0.34998626667073579"/>
        </right>
        <top style="hair">
          <color theme="0" tint="-0.34998626667073579"/>
        </top>
        <bottom style="hair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0"/>
        <name val="Calibri"/>
        <family val="2"/>
        <scheme val="minor"/>
      </font>
      <fill>
        <patternFill patternType="solid">
          <fgColor indexed="64"/>
          <bgColor theme="8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hair">
          <color theme="0" tint="-0.34998626667073579"/>
        </right>
        <top style="hair">
          <color theme="0" tint="-0.34998626667073579"/>
        </top>
        <bottom/>
      </border>
    </dxf>
    <dxf>
      <font>
        <b val="0"/>
        <strike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border diagonalUp="0" diagonalDown="0" outline="0">
        <left/>
        <right style="hair">
          <color theme="0" tint="-0.34998626667073579"/>
        </right>
        <top style="hair">
          <color theme="0" tint="-0.34998626667073579"/>
        </top>
        <bottom style="hair">
          <color theme="0" tint="-0.34998626667073579"/>
        </bottom>
      </border>
    </dxf>
    <dxf>
      <border>
        <top style="hair">
          <color theme="0" tint="-0.34998626667073579"/>
        </top>
      </border>
    </dxf>
    <dxf>
      <font>
        <b val="0"/>
        <strike val="0"/>
        <outline val="0"/>
        <shadow val="0"/>
        <u val="none"/>
        <vertAlign val="baseline"/>
        <sz val="22"/>
        <color theme="0"/>
        <name val="Calibri"/>
        <family val="2"/>
        <scheme val="minor"/>
      </font>
      <fill>
        <patternFill patternType="solid">
          <fgColor indexed="64"/>
          <bgColor theme="8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theme="0" tint="-0.34998626667073579"/>
        </left>
        <right style="hair">
          <color theme="0" tint="-0.34998626667073579"/>
        </right>
        <top/>
        <bottom/>
      </border>
    </dxf>
    <dxf>
      <border diagonalUp="0" diagonalDown="0">
        <left style="hair">
          <color theme="0" tint="-0.34998626667073579"/>
        </left>
        <right style="hair">
          <color theme="0" tint="-0.34998626667073579"/>
        </right>
        <top style="hair">
          <color theme="0" tint="-0.34998626667073579"/>
        </top>
        <bottom style="hair">
          <color theme="0" tint="-0.34998626667073579"/>
        </bottom>
      </border>
    </dxf>
    <dxf>
      <font>
        <b val="0"/>
        <strike val="0"/>
        <outline val="0"/>
        <shadow val="0"/>
        <u val="none"/>
        <vertAlign val="baseline"/>
        <sz val="22"/>
        <color theme="1"/>
        <name val="Calibri"/>
        <family val="2"/>
        <scheme val="minor"/>
      </font>
    </dxf>
    <dxf>
      <border>
        <bottom style="hair">
          <color theme="0" tint="-0.34998626667073579"/>
        </bottom>
      </border>
    </dxf>
    <dxf>
      <font>
        <b/>
        <strike val="0"/>
        <outline val="0"/>
        <shadow val="0"/>
        <u val="none"/>
        <vertAlign val="baseline"/>
        <sz val="22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general" vertical="bottom" textRotation="0" wrapText="1" indent="0" justifyLastLine="0" shrinkToFit="0" readingOrder="0"/>
      <border diagonalUp="0" diagonalDown="0" outline="0">
        <left style="hair">
          <color theme="0" tint="-0.34998626667073579"/>
        </left>
        <right style="hair">
          <color theme="0" tint="-0.34998626667073579"/>
        </right>
        <top/>
        <bottom/>
      </border>
    </dxf>
    <dxf>
      <numFmt numFmtId="19" formatCode="dd/mm/yyyy"/>
    </dxf>
    <dxf>
      <numFmt numFmtId="19" formatCode="dd/mm/yyyy"/>
    </dxf>
  </dxfs>
  <tableStyles count="0" defaultTableStyle="TableStyleMedium2" defaultPivotStyle="PivotStyleLight16"/>
  <colors>
    <mruColors>
      <color rgb="FFFF5050"/>
      <color rgb="FFFF6600"/>
      <color rgb="FFEC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eetMetadata" Target="metadata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cap="all" baseline="0">
                <a:effectLst/>
              </a:rPr>
              <a:t>Collection efficiency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DASHBOARD1!$O$4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83D-4F2C-8DE1-901319C76BB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83D-4F2C-8DE1-901319C76BB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83D-4F2C-8DE1-901319C76BB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DASHBOARD1!$N$5:$N$8</c:f>
              <c:strCache>
                <c:ptCount val="4"/>
                <c:pt idx="0">
                  <c:v>Indiranagar</c:v>
                </c:pt>
                <c:pt idx="1">
                  <c:v>HSR Layout</c:v>
                </c:pt>
                <c:pt idx="2">
                  <c:v>Koramangala</c:v>
                </c:pt>
                <c:pt idx="3">
                  <c:v>Whitefield</c:v>
                </c:pt>
              </c:strCache>
            </c:strRef>
          </c:cat>
          <c:val>
            <c:numRef>
              <c:f>DASHBOARD1!$O$5:$O$8</c:f>
              <c:numCache>
                <c:formatCode>0%</c:formatCode>
                <c:ptCount val="4"/>
                <c:pt idx="0">
                  <c:v>0.36904761904761907</c:v>
                </c:pt>
                <c:pt idx="1">
                  <c:v>0.6</c:v>
                </c:pt>
                <c:pt idx="2">
                  <c:v>0.9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3D-4F2C-8DE1-901319C76BB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36030303"/>
        <c:axId val="1436031263"/>
      </c:barChart>
      <c:catAx>
        <c:axId val="1436030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031263"/>
        <c:crosses val="autoZero"/>
        <c:auto val="1"/>
        <c:lblAlgn val="ctr"/>
        <c:lblOffset val="100"/>
        <c:noMultiLvlLbl val="0"/>
      </c:catAx>
      <c:valAx>
        <c:axId val="1436031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030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OUTSTANDING RENT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074803149606298"/>
          <c:y val="0.19486111111111112"/>
          <c:w val="0.72939085739282594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28D-471B-A32A-10F7E35C78B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28D-471B-A32A-10F7E35C78B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DASHBOARD1!$N$10:$N$13</c:f>
              <c:strCache>
                <c:ptCount val="4"/>
                <c:pt idx="0">
                  <c:v>Whitefield</c:v>
                </c:pt>
                <c:pt idx="1">
                  <c:v>Koramangala</c:v>
                </c:pt>
                <c:pt idx="2">
                  <c:v>HSR Layout</c:v>
                </c:pt>
                <c:pt idx="3">
                  <c:v>Indiranagar</c:v>
                </c:pt>
              </c:strCache>
            </c:strRef>
          </c:cat>
          <c:val>
            <c:numRef>
              <c:f>DASHBOARD1!$O$10:$O$13</c:f>
              <c:numCache>
                <c:formatCode>_("₹"* #,##0.00_);_("₹"* \(#,##0.00\);_("₹"* "-"??_);_(@_)</c:formatCode>
                <c:ptCount val="4"/>
                <c:pt idx="0">
                  <c:v>0</c:v>
                </c:pt>
                <c:pt idx="1">
                  <c:v>6000</c:v>
                </c:pt>
                <c:pt idx="2">
                  <c:v>22000</c:v>
                </c:pt>
                <c:pt idx="3">
                  <c:v>26500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8D-471B-A32A-10F7E35C78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5228847"/>
        <c:axId val="115230287"/>
      </c:barChart>
      <c:catAx>
        <c:axId val="115228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30287"/>
        <c:crosses val="autoZero"/>
        <c:auto val="1"/>
        <c:lblAlgn val="ctr"/>
        <c:lblOffset val="100"/>
        <c:noMultiLvlLbl val="0"/>
      </c:catAx>
      <c:valAx>
        <c:axId val="11523028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crossAx val="115228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816428</xdr:colOff>
      <xdr:row>16</xdr:row>
      <xdr:rowOff>25581</xdr:rowOff>
    </xdr:from>
    <xdr:to>
      <xdr:col>6</xdr:col>
      <xdr:colOff>87086</xdr:colOff>
      <xdr:row>24</xdr:row>
      <xdr:rowOff>152399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9497CD-627C-8693-27DB-E0219D9CCC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807721</xdr:colOff>
      <xdr:row>24</xdr:row>
      <xdr:rowOff>179071</xdr:rowOff>
    </xdr:from>
    <xdr:to>
      <xdr:col>6</xdr:col>
      <xdr:colOff>97973</xdr:colOff>
      <xdr:row>35</xdr:row>
      <xdr:rowOff>65315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6E7FB7F-F3EB-6F05-7A16-2ADB27B37C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591A99E-ADF6-42EE-9489-1209F2DA9AEC}" name="Table4" displayName="Table4" ref="A1:K16" totalsRowShown="0">
  <autoFilter ref="A1:K16" xr:uid="{E591A99E-ADF6-42EE-9489-1209F2DA9AEC}"/>
  <tableColumns count="11">
    <tableColumn id="1" xr3:uid="{F4E1D48D-E2F3-4503-9FA2-897E50049742}" name="ID"/>
    <tableColumn id="2" xr3:uid="{4A310A7C-ADF3-4B66-A388-47E9BAF27912}" name="Resident Name"/>
    <tableColumn id="3" xr3:uid="{EDA64B9F-9CFE-490F-A978-F1F6180D66A3}" name="Property"/>
    <tableColumn id="4" xr3:uid="{C5048AB4-DB94-4A5A-96C4-4E557108D322}" name="Bed Code"/>
    <tableColumn id="5" xr3:uid="{3B4C8AF5-C26E-4E9F-B9A3-A279FB068DF7}" name="Move-In Date" dataDxfId="120"/>
    <tableColumn id="6" xr3:uid="{D61F1AFC-E0F7-4C6C-A7A0-A6E11BA668BB}" name="Move-Out Date" dataDxfId="119"/>
    <tableColumn id="7" xr3:uid="{FDF75147-0B89-43D9-B970-FA6E0D93D78D}" name="Status"/>
    <tableColumn id="8" xr3:uid="{7A80095C-CEDF-4CF7-9D3E-47EB353613D0}" name="Monthly Rent (₹)"/>
    <tableColumn id="9" xr3:uid="{1380411C-84B1-4968-8234-5656354C831C}" name="Deposit Paid"/>
    <tableColumn id="10" xr3:uid="{D525E638-4747-44E2-BBF6-8E97769E913A}" name="Deposit Amt (₹)"/>
    <tableColumn id="11" xr3:uid="{CE4F8314-6C4E-4505-884A-E4AF0DEFB87C}" name="Notice Give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669DE3-CB17-4C7D-A7B5-84363694EFC3}" name="RESIDENT_CLEAN" displayName="RESIDENT_CLEAN" ref="A1:N17" totalsRowCount="1" headerRowDxfId="118" dataDxfId="116" totalsRowDxfId="114" headerRowBorderDxfId="117" tableBorderDxfId="115" totalsRowBorderDxfId="113">
  <autoFilter ref="A1:N16" xr:uid="{46669DE3-CB17-4C7D-A7B5-84363694EFC3}"/>
  <tableColumns count="14">
    <tableColumn id="1" xr3:uid="{416733CB-C7E8-4493-9885-211C40A901C0}" name="ID" totalsRowLabel="Total" dataDxfId="112" totalsRowDxfId="111"/>
    <tableColumn id="13" xr3:uid="{A6E8D88E-D5EB-4CDE-A822-E69DEBE18985}" name="Resident Name" dataDxfId="110" totalsRowDxfId="109"/>
    <tableColumn id="3" xr3:uid="{9B9A381F-F339-4D47-A4F4-E10007D74F79}" name="Property" dataDxfId="108" totalsRowDxfId="107"/>
    <tableColumn id="4" xr3:uid="{F4CD034F-A656-4677-957E-E049851183F4}" name="Bed Code" dataDxfId="106" totalsRowDxfId="105"/>
    <tableColumn id="5" xr3:uid="{5F9FFD29-0AEE-4920-8098-1E1FDAA09D57}" name="Move-In Date" dataDxfId="104" totalsRowDxfId="103"/>
    <tableColumn id="6" xr3:uid="{92EF7847-E005-4AE7-8C02-CDD9E990583E}" name="Move-Out Date" dataDxfId="102" totalsRowDxfId="101"/>
    <tableColumn id="7" xr3:uid="{FE10F147-68DD-435C-B30F-EC59230204AD}" name="Status" totalsRowFunction="count" dataDxfId="100" totalsRowDxfId="99"/>
    <tableColumn id="8" xr3:uid="{2A5CA07D-E600-4D00-9BC1-772A72AA3E39}" name="Monthly Rent" totalsRowFunction="sum" dataDxfId="98" totalsRowDxfId="97" dataCellStyle="Currency"/>
    <tableColumn id="9" xr3:uid="{D7AD3E72-A44A-4718-AFC6-8EEEA7BB00B5}" name="Deposit Paid" dataDxfId="96" totalsRowDxfId="95"/>
    <tableColumn id="10" xr3:uid="{CF8A26A5-6F2E-4DDF-8034-58A20F4884F6}" name="Deposit Amt (₹)" dataDxfId="94" totalsRowDxfId="93" dataCellStyle="Currency"/>
    <tableColumn id="11" xr3:uid="{89CB0F4F-06BC-4C73-9EAB-D34BF3CDC7EA}" name="Notice Given" dataDxfId="92" totalsRowDxfId="91"/>
    <tableColumn id="2" xr3:uid="{C1A9FA55-D120-4B93-A247-6F8399137CB3}" name="Notes/Flags" dataDxfId="90" totalsRowDxfId="89"/>
    <tableColumn id="14" xr3:uid="{EE688C7E-7860-4A2F-BDA4-E188A7C3E65E}" name="Correct Deposit" totalsRowFunction="sum" dataDxfId="88" totalsRowDxfId="87" dataCellStyle="Currency">
      <calculatedColumnFormula>RESIDENT_CLEAN[[#This Row],[Monthly Rent]]*2</calculatedColumnFormula>
    </tableColumn>
    <tableColumn id="16" xr3:uid="{8C7CC7BA-DACA-4CB4-A068-5C4CAD03DD57}" name="Deposit Gap" totalsRowFunction="sum" dataDxfId="86" totalsRowDxfId="85" dataCellStyle="Currency">
      <calculatedColumnFormula>IF(I2="No",M2,IF(J2&lt;M2,M2-J2,0))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BFF30DD-29C6-4A02-94CB-9F39BCA48CE6}" name="PAYMENTS" displayName="PAYMENTS" ref="A1:K22" totalsRowCount="1" headerRowDxfId="84" totalsRowDxfId="81" headerRowBorderDxfId="83" tableBorderDxfId="82" totalsRowBorderDxfId="80">
  <autoFilter ref="A1:K21" xr:uid="{6BFF30DD-29C6-4A02-94CB-9F39BCA48CE6}"/>
  <tableColumns count="11">
    <tableColumn id="1" xr3:uid="{3AE89F45-5110-43FD-B4C9-D18A5163D12D}" name="Payment ID" totalsRowLabel="Total" dataDxfId="79" totalsRowDxfId="78"/>
    <tableColumn id="2" xr3:uid="{50A1199D-2912-459D-B97D-79DFF1E86433}" name="Resident ID" dataDxfId="77" totalsRowDxfId="76"/>
    <tableColumn id="3" xr3:uid="{5EED19DD-A49D-43AE-8F52-E9705F6DA982}" name="Month" dataDxfId="75" totalsRowDxfId="74"/>
    <tableColumn id="4" xr3:uid="{5874743F-ED37-47C1-80B5-9A0A3636A4DB}" name="Amount Due (₹)" totalsRowFunction="sum" dataDxfId="73" totalsRowDxfId="72" dataCellStyle="Currency"/>
    <tableColumn id="5" xr3:uid="{D8356DFB-C846-4534-BAF7-3A22D0A8050B}" name="Amount Paid (₹)" totalsRowFunction="sum" dataDxfId="71" totalsRowDxfId="70" dataCellStyle="Currency"/>
    <tableColumn id="6" xr3:uid="{01A5F743-7544-4E9B-9771-C97983387A86}" name="Payment Date" dataDxfId="69" totalsRowDxfId="68"/>
    <tableColumn id="7" xr3:uid="{B03E0BC2-43D1-461D-9114-3E47C45D16ED}" name="Mode" dataDxfId="67" totalsRowDxfId="66"/>
    <tableColumn id="12" xr3:uid="{93852C27-E03E-4970-9C6A-92DFBAE1C7ED}" name="Status" dataDxfId="65" totalsRowDxfId="64"/>
    <tableColumn id="9" xr3:uid="{75FEDCC6-A910-43B8-AE80-BC658EDBCED0}" name="Property" dataDxfId="63" totalsRowDxfId="62">
      <calculatedColumnFormula>VLOOKUP(PAYMENTS[[#This Row],[Resident ID]],RESIDENT_CLEAN[[#Headers],[#Data]],3,FALSE)</calculatedColumnFormula>
    </tableColumn>
    <tableColumn id="8" xr3:uid="{5BF82125-0CF8-48D4-8FDF-C03F37C73602}" name="Shortfall  ₹" totalsRowFunction="sum" dataDxfId="61" totalsRowDxfId="60" dataCellStyle="Currency" totalsRowCellStyle="Currency">
      <calculatedColumnFormula>PAYMENTS[[#This Row],[Amount Due (₹)]]-PAYMENTS[[#This Row],[Amount Paid (₹)]]</calculatedColumnFormula>
    </tableColumn>
    <tableColumn id="10" xr3:uid="{778CB777-6EFE-43C9-81B2-74141AA3F695}" name="Status2" dataDxfId="59" totalsRowDxfId="58">
      <calculatedColumnFormula>VLOOKUP(PAYMENTS[[#This Row],[Resident ID]],RESIDENT_CLEAN[#All],7,TRUE)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D4DD932-B2B1-4F04-BE07-D775E3652515}" name="TICKETS" displayName="TICKETS" ref="A1:K16" totalsRowShown="0" headerRowDxfId="57" headerRowBorderDxfId="56" tableBorderDxfId="55" totalsRowBorderDxfId="54">
  <autoFilter ref="A1:K16" xr:uid="{CD4DD932-B2B1-4F04-BE07-D775E3652515}">
    <filterColumn colId="10">
      <filters>
        <filter val="Critical"/>
        <filter val="Needs Follow Up"/>
        <filter val="Overdue"/>
      </filters>
    </filterColumn>
  </autoFilter>
  <tableColumns count="11">
    <tableColumn id="1" xr3:uid="{5E503CF7-E5B7-439E-9FAE-BD7D1F3745D7}" name="Ticket ID" dataDxfId="53"/>
    <tableColumn id="2" xr3:uid="{2495E282-48D2-4ACA-A072-B090C7057A43}" name="Property" dataDxfId="52"/>
    <tableColumn id="3" xr3:uid="{67BD60A2-D3BC-4B20-AF13-AE5CB5DCD725}" name="Bed / Area" dataDxfId="51"/>
    <tableColumn id="4" xr3:uid="{A2AA8A32-6E53-4C6F-8722-9242D2479462}" name="Issue" dataDxfId="50"/>
    <tableColumn id="5" xr3:uid="{628CD09B-6904-4AE0-9354-FE5B6EA841BC}" name="Priority" dataDxfId="49"/>
    <tableColumn id="6" xr3:uid="{5D9D1F0A-CBD7-46D1-859F-7B94EE330FAE}" name="Raised On" dataDxfId="48"/>
    <tableColumn id="7" xr3:uid="{ECC717DE-FB00-4727-BA40-B56E3470F465}" name="Resolved On" dataDxfId="47"/>
    <tableColumn id="8" xr3:uid="{17D8C4AA-252C-4095-9386-667278F395C4}" name="Status" dataDxfId="46"/>
    <tableColumn id="9" xr3:uid="{E7BFC979-A0AA-46AF-A497-BB40FAAC32CF}" name="Raised By" dataDxfId="45"/>
    <tableColumn id="10" xr3:uid="{3B1BE161-73EB-4746-83A2-D4C66086D05F}" name="Tickets Days open" dataDxfId="44">
      <calculatedColumnFormula>IF(H2="Resolved",IF(G2="",0,G2-F2),DATE(2025,6,20)-F2)</calculatedColumnFormula>
    </tableColumn>
    <tableColumn id="11" xr3:uid="{1423034B-C874-441E-817D-10EA81A495BE}" name="Aging Bucket" dataDxfId="43">
      <calculatedColumnFormula>IF(H2="Resolved","Resolved",IF(J2&gt;30,"Critical",IF(J2&gt;14,"Overdue",IF(J2&gt;7,"Needs Follow Up","On Track"))))</calculatedColumnFormula>
    </tableColumn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BAF437E-9395-4DD5-A275-9D20D5F3F5CB}" name="Table3" displayName="Table3" ref="A2:F11" totalsRowShown="0" headerRowDxfId="42" headerRowBorderDxfId="41" tableBorderDxfId="40" totalsRowBorderDxfId="39">
  <autoFilter ref="A2:F11" xr:uid="{EBAF437E-9395-4DD5-A275-9D20D5F3F5CB}"/>
  <tableColumns count="6">
    <tableColumn id="1" xr3:uid="{28145BF8-197B-47CE-BC83-7D9051B48A25}" name="ID" dataDxfId="38"/>
    <tableColumn id="2" xr3:uid="{6F1898A9-B044-4E1D-91DC-28116F092BE0}" name=" Table" dataDxfId="37"/>
    <tableColumn id="3" xr3:uid="{CF08A4A1-174D-450E-8A59-68CC044B30AC}" name=" Field" dataDxfId="36"/>
    <tableColumn id="4" xr3:uid="{F9260F7D-1452-4187-A306-E485E538383E}" name=" What's Wrong" dataDxfId="35"/>
    <tableColumn id="5" xr3:uid="{421CE0DB-D726-433C-A370-7F189592369E}" name="Corrected Value" dataDxfId="34"/>
    <tableColumn id="6" xr3:uid="{8D390127-F89C-492B-9BCA-4A91897AC6A5}" name="Business Risk if Not Fixed" dataDxfId="33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DCE079B-2636-4171-B08A-62AF662FB013}" name="Table5" displayName="Table5" ref="A2:H7" totalsRowCount="1" headerRowDxfId="32" totalsRowDxfId="31">
  <autoFilter ref="A2:H6" xr:uid="{EDCE079B-2636-4171-B08A-62AF662FB013}"/>
  <tableColumns count="8">
    <tableColumn id="1" xr3:uid="{DD03D6D0-CD25-4972-9F77-047C235324DA}" name="Property" totalsRowLabel="Total" dataDxfId="30" totalsRowDxfId="29"/>
    <tableColumn id="2" xr3:uid="{E9B86092-B8AC-47A5-A99C-E4AF95014F4F}" name=" Total Beds " totalsRowFunction="sum" totalsRowDxfId="28"/>
    <tableColumn id="3" xr3:uid="{3E1CEEF7-72FB-4929-889E-20AC5142393D}" name=" Active Residents " totalsRowFunction="sum" dataDxfId="27" totalsRowDxfId="26">
      <calculatedColumnFormula>COUNTIFS(RESIDENT_CLEAN[Property],REVENUE_SUMMARY!A3,RESIDENT_CLEAN[Status],"Active")</calculatedColumnFormula>
    </tableColumn>
    <tableColumn id="8" xr3:uid="{E00A240A-98A5-48E1-BB0E-38A686F3B7FB}" name="Occupancy Rate" totalsRowFunction="average" dataDxfId="25" totalsRowDxfId="0" dataCellStyle="Percent">
      <calculatedColumnFormula>Table5[[#This Row],[ Active Residents ]]/Table5[[#This Row],[ Total Beds ]]</calculatedColumnFormula>
    </tableColumn>
    <tableColumn id="7" xr3:uid="{E2CEB57B-157B-4C2D-9C3B-95692180A544}" name="Total Monthly Rent Collectible" totalsRowFunction="sum" dataDxfId="24" totalsRowDxfId="23">
      <calculatedColumnFormula>SUMIFS(RESIDENT_CLEAN[Monthly Rent],RESIDENT_CLEAN[Property],Table5[[#This Row],[Property]],RESIDENT_CLEAN[Status],"Active")</calculatedColumnFormula>
    </tableColumn>
    <tableColumn id="5" xr3:uid="{64A687CB-5885-445E-9BE6-692D174F6F5E}" name=" Total Rent Collected " totalsRowFunction="sum" dataDxfId="22" totalsRowDxfId="21">
      <calculatedColumnFormula>SUMIFS(PAYMENTS[Amount Paid (₹)], PAYMENTS[Property], Table5[[#This Row],[Property]], PAYMENTS[Status], "Cleared") + SUMIFS(PAYMENTS[Amount Paid (₹)], PAYMENTS[Property], Table5[[#This Row],[Property]], PAYMENTS[Status], "Partial")</calculatedColumnFormula>
    </tableColumn>
    <tableColumn id="6" xr3:uid="{CCC937CB-AB9D-4140-A632-1B4F9726C4BB}" name=" Total Outstanding " totalsRowFunction="sum" dataDxfId="20" totalsRowDxfId="19">
      <calculatedColumnFormula>SUMIFS(PAYMENTS[Shortfall  ₹],PAYMENTS[Property],Table5[[#This Row],[Property]])</calculatedColumnFormula>
    </tableColumn>
    <tableColumn id="9" xr3:uid="{E638DCB8-4CED-4330-A1D6-FAF6462CBDB8}" name="Total Gap" totalsRowFunction="sum" dataDxfId="18" totalsRowDxfId="17">
      <calculatedColumnFormula>SUMIF(RESIDENT_CLEAN[Property],Table5[[#This Row],[Property]],RESIDENT_CLEAN[Deposit Gap])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6BF9E-D0A6-490F-8FEF-AC6A41A61149}">
  <dimension ref="A1:K19"/>
  <sheetViews>
    <sheetView workbookViewId="0">
      <selection activeCell="G21" sqref="G21"/>
    </sheetView>
  </sheetViews>
  <sheetFormatPr defaultRowHeight="14.4"/>
  <cols>
    <col min="1" max="1" width="5.5546875" bestFit="1" customWidth="1"/>
    <col min="2" max="2" width="15.5546875" customWidth="1"/>
    <col min="3" max="3" width="12.77734375" bestFit="1" customWidth="1"/>
    <col min="4" max="4" width="10.88671875" customWidth="1"/>
    <col min="5" max="5" width="14.44140625" customWidth="1"/>
    <col min="6" max="6" width="15.88671875" customWidth="1"/>
    <col min="7" max="7" width="16.21875" bestFit="1" customWidth="1"/>
    <col min="8" max="8" width="24.5546875" bestFit="1" customWidth="1"/>
    <col min="9" max="9" width="13.33203125" customWidth="1"/>
    <col min="10" max="10" width="16" customWidth="1"/>
    <col min="11" max="11" width="14.5546875" bestFit="1" customWidth="1"/>
    <col min="12" max="12" width="14.109375" customWidth="1"/>
  </cols>
  <sheetData>
    <row r="1" spans="1:11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</row>
    <row r="2" spans="1:11">
      <c r="A2" t="s">
        <v>0</v>
      </c>
      <c r="B2" t="s">
        <v>1</v>
      </c>
      <c r="C2" t="s">
        <v>2</v>
      </c>
      <c r="D2" t="s">
        <v>3</v>
      </c>
      <c r="E2" s="1">
        <v>45658</v>
      </c>
      <c r="F2" s="1">
        <v>45747</v>
      </c>
      <c r="G2" t="s">
        <v>4</v>
      </c>
      <c r="H2">
        <v>12000</v>
      </c>
      <c r="I2" t="s">
        <v>5</v>
      </c>
      <c r="J2">
        <v>24000</v>
      </c>
      <c r="K2" t="s">
        <v>5</v>
      </c>
    </row>
    <row r="3" spans="1:11">
      <c r="A3" s="28" t="s">
        <v>6</v>
      </c>
      <c r="B3" s="28" t="s">
        <v>7</v>
      </c>
      <c r="C3" s="28" t="s">
        <v>8</v>
      </c>
      <c r="D3" s="28" t="s">
        <v>9</v>
      </c>
      <c r="E3" s="29">
        <v>45672</v>
      </c>
      <c r="F3" s="29"/>
      <c r="G3" s="28" t="s">
        <v>10</v>
      </c>
      <c r="H3" s="28">
        <v>9500</v>
      </c>
      <c r="I3" s="28" t="s">
        <v>5</v>
      </c>
      <c r="J3" s="28">
        <v>19000</v>
      </c>
      <c r="K3" s="28" t="s">
        <v>11</v>
      </c>
    </row>
    <row r="4" spans="1:11">
      <c r="A4" s="28" t="s">
        <v>12</v>
      </c>
      <c r="B4" s="28" t="s">
        <v>13</v>
      </c>
      <c r="C4" s="28" t="s">
        <v>2</v>
      </c>
      <c r="D4" s="28" t="s">
        <v>3</v>
      </c>
      <c r="E4" s="29" t="s">
        <v>14</v>
      </c>
      <c r="F4" s="29">
        <v>45777</v>
      </c>
      <c r="G4" s="28" t="s">
        <v>10</v>
      </c>
      <c r="H4" s="28">
        <v>12000</v>
      </c>
      <c r="I4" s="28" t="s">
        <v>11</v>
      </c>
      <c r="J4" s="28">
        <v>0</v>
      </c>
      <c r="K4" s="28" t="s">
        <v>11</v>
      </c>
    </row>
    <row r="5" spans="1:11">
      <c r="A5" s="28" t="s">
        <v>15</v>
      </c>
      <c r="B5" s="28" t="s">
        <v>16</v>
      </c>
      <c r="C5" s="28" t="s">
        <v>17</v>
      </c>
      <c r="D5" s="28" t="s">
        <v>18</v>
      </c>
      <c r="E5" s="29">
        <v>45689</v>
      </c>
      <c r="F5" s="29">
        <v>45716</v>
      </c>
      <c r="G5" s="28" t="s">
        <v>19</v>
      </c>
      <c r="H5" s="28">
        <v>11000</v>
      </c>
      <c r="I5" s="28" t="s">
        <v>5</v>
      </c>
      <c r="J5" s="28">
        <v>22000</v>
      </c>
      <c r="K5" s="28" t="s">
        <v>5</v>
      </c>
    </row>
    <row r="6" spans="1:11">
      <c r="A6" s="28" t="s">
        <v>20</v>
      </c>
      <c r="B6" s="28" t="s">
        <v>21</v>
      </c>
      <c r="C6" s="28" t="s">
        <v>8</v>
      </c>
      <c r="D6" s="28" t="s">
        <v>22</v>
      </c>
      <c r="E6" s="29">
        <v>45708</v>
      </c>
      <c r="F6" s="29"/>
      <c r="G6" s="28" t="s">
        <v>10</v>
      </c>
      <c r="H6" s="28" t="s">
        <v>23</v>
      </c>
      <c r="I6" s="28" t="s">
        <v>5</v>
      </c>
      <c r="J6" s="28">
        <v>15000</v>
      </c>
      <c r="K6" s="28" t="s">
        <v>11</v>
      </c>
    </row>
    <row r="7" spans="1:11">
      <c r="A7" t="s">
        <v>24</v>
      </c>
      <c r="B7" t="s">
        <v>25</v>
      </c>
      <c r="C7" t="s">
        <v>26</v>
      </c>
      <c r="D7" t="s">
        <v>27</v>
      </c>
      <c r="E7" s="1">
        <v>45717</v>
      </c>
      <c r="F7" s="1"/>
      <c r="G7" t="s">
        <v>10</v>
      </c>
      <c r="H7">
        <v>10500</v>
      </c>
      <c r="I7" t="s">
        <v>11</v>
      </c>
      <c r="J7">
        <v>0</v>
      </c>
      <c r="K7" t="s">
        <v>11</v>
      </c>
    </row>
    <row r="8" spans="1:11">
      <c r="A8" t="s">
        <v>28</v>
      </c>
      <c r="B8" t="s">
        <v>29</v>
      </c>
      <c r="C8" t="s">
        <v>17</v>
      </c>
      <c r="D8" t="s">
        <v>30</v>
      </c>
      <c r="E8" s="1">
        <v>45721</v>
      </c>
      <c r="F8" s="1"/>
      <c r="G8" t="s">
        <v>10</v>
      </c>
      <c r="H8">
        <v>11000</v>
      </c>
      <c r="I8" t="s">
        <v>5</v>
      </c>
      <c r="J8">
        <v>22000</v>
      </c>
      <c r="K8" t="s">
        <v>11</v>
      </c>
    </row>
    <row r="9" spans="1:11">
      <c r="A9" s="28" t="s">
        <v>31</v>
      </c>
      <c r="B9" s="28" t="s">
        <v>32</v>
      </c>
      <c r="C9" s="28" t="s">
        <v>2</v>
      </c>
      <c r="D9" s="28" t="s">
        <v>33</v>
      </c>
      <c r="E9" s="29">
        <v>45726</v>
      </c>
      <c r="F9" s="29">
        <v>45721</v>
      </c>
      <c r="G9" s="28" t="s">
        <v>34</v>
      </c>
      <c r="H9" s="28">
        <v>12000</v>
      </c>
      <c r="I9" s="28" t="s">
        <v>5</v>
      </c>
      <c r="J9" s="28">
        <v>24000</v>
      </c>
      <c r="K9" s="28" t="s">
        <v>5</v>
      </c>
    </row>
    <row r="10" spans="1:11">
      <c r="A10" s="28" t="s">
        <v>35</v>
      </c>
      <c r="B10" s="28" t="s">
        <v>36</v>
      </c>
      <c r="C10" s="28" t="s">
        <v>26</v>
      </c>
      <c r="D10" s="28" t="s">
        <v>27</v>
      </c>
      <c r="E10" s="29">
        <v>45731</v>
      </c>
      <c r="F10" s="29"/>
      <c r="G10" s="28" t="s">
        <v>37</v>
      </c>
      <c r="H10" s="28">
        <v>10500</v>
      </c>
      <c r="I10" s="28" t="s">
        <v>5</v>
      </c>
      <c r="J10" s="28">
        <v>21000</v>
      </c>
      <c r="K10" s="28" t="s">
        <v>11</v>
      </c>
    </row>
    <row r="11" spans="1:11">
      <c r="A11" t="s">
        <v>38</v>
      </c>
      <c r="B11" t="s">
        <v>39</v>
      </c>
      <c r="C11" t="s">
        <v>8</v>
      </c>
      <c r="D11" t="s">
        <v>40</v>
      </c>
      <c r="E11" s="1">
        <v>45748</v>
      </c>
      <c r="F11" s="1"/>
      <c r="G11" t="s">
        <v>10</v>
      </c>
      <c r="H11">
        <v>9500</v>
      </c>
      <c r="I11" t="s">
        <v>11</v>
      </c>
      <c r="J11">
        <v>0</v>
      </c>
      <c r="K11" t="s">
        <v>11</v>
      </c>
    </row>
    <row r="12" spans="1:11">
      <c r="A12" s="28" t="s">
        <v>41</v>
      </c>
      <c r="B12" s="28" t="s">
        <v>42</v>
      </c>
      <c r="C12" s="28" t="s">
        <v>17</v>
      </c>
      <c r="D12" s="28" t="s">
        <v>43</v>
      </c>
      <c r="E12" s="29">
        <v>45748</v>
      </c>
      <c r="F12" s="29"/>
      <c r="G12" s="28" t="s">
        <v>10</v>
      </c>
      <c r="H12" s="28">
        <v>11000</v>
      </c>
      <c r="I12" s="28" t="s">
        <v>5</v>
      </c>
      <c r="J12" s="28">
        <v>11000</v>
      </c>
      <c r="K12" s="28" t="s">
        <v>44</v>
      </c>
    </row>
    <row r="13" spans="1:11">
      <c r="A13" t="s">
        <v>45</v>
      </c>
      <c r="B13" t="s">
        <v>46</v>
      </c>
      <c r="C13" t="s">
        <v>2</v>
      </c>
      <c r="D13" t="s">
        <v>47</v>
      </c>
      <c r="E13" s="1">
        <v>45762</v>
      </c>
      <c r="F13" s="1"/>
      <c r="G13" t="s">
        <v>10</v>
      </c>
      <c r="H13">
        <v>12000</v>
      </c>
      <c r="I13" t="s">
        <v>5</v>
      </c>
      <c r="J13">
        <v>24000</v>
      </c>
      <c r="K13" t="s">
        <v>11</v>
      </c>
    </row>
    <row r="14" spans="1:11">
      <c r="A14" s="28" t="s">
        <v>48</v>
      </c>
      <c r="B14" s="28" t="s">
        <v>49</v>
      </c>
      <c r="C14" s="28" t="s">
        <v>26</v>
      </c>
      <c r="D14" s="28" t="s">
        <v>50</v>
      </c>
      <c r="E14" s="29">
        <v>45778</v>
      </c>
      <c r="F14" s="29"/>
      <c r="G14" s="28" t="s">
        <v>10</v>
      </c>
      <c r="H14" s="28">
        <v>10500</v>
      </c>
      <c r="I14" s="28" t="s">
        <v>5</v>
      </c>
      <c r="J14" s="28">
        <v>21000</v>
      </c>
      <c r="K14" s="28" t="s">
        <v>11</v>
      </c>
    </row>
    <row r="15" spans="1:11">
      <c r="A15" s="28" t="s">
        <v>51</v>
      </c>
      <c r="B15" s="28" t="s">
        <v>52</v>
      </c>
      <c r="C15" s="28" t="s">
        <v>8</v>
      </c>
      <c r="D15" s="28" t="s">
        <v>9</v>
      </c>
      <c r="E15" s="29">
        <v>45787</v>
      </c>
      <c r="F15" s="29"/>
      <c r="G15" s="28" t="s">
        <v>53</v>
      </c>
      <c r="H15" s="28">
        <v>9500</v>
      </c>
      <c r="I15" s="28" t="s">
        <v>11</v>
      </c>
      <c r="J15" s="28">
        <v>0</v>
      </c>
      <c r="K15" s="28" t="s">
        <v>11</v>
      </c>
    </row>
    <row r="16" spans="1:11">
      <c r="A16" t="s">
        <v>54</v>
      </c>
      <c r="B16" t="s">
        <v>55</v>
      </c>
      <c r="C16" t="s">
        <v>17</v>
      </c>
      <c r="D16" t="s">
        <v>18</v>
      </c>
      <c r="E16" s="1">
        <v>45809</v>
      </c>
      <c r="F16" s="1"/>
      <c r="G16" t="s">
        <v>10</v>
      </c>
      <c r="H16">
        <v>11000</v>
      </c>
      <c r="I16" t="s">
        <v>5</v>
      </c>
      <c r="J16">
        <v>22000</v>
      </c>
      <c r="K16" t="s">
        <v>11</v>
      </c>
    </row>
    <row r="19" spans="2:6">
      <c r="B19" s="166" t="s">
        <v>200</v>
      </c>
      <c r="C19" s="166"/>
      <c r="D19" s="166"/>
      <c r="E19" s="166"/>
      <c r="F19" s="166"/>
    </row>
  </sheetData>
  <mergeCells count="1">
    <mergeCell ref="B19:F19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724A8-08BA-40C5-BE13-35ECA865021A}">
  <dimension ref="A1:N17"/>
  <sheetViews>
    <sheetView zoomScale="52" zoomScaleNormal="76" workbookViewId="0">
      <selection activeCell="C14" sqref="C14"/>
    </sheetView>
  </sheetViews>
  <sheetFormatPr defaultRowHeight="14.4"/>
  <cols>
    <col min="1" max="7" width="23.77734375" customWidth="1"/>
    <col min="8" max="8" width="27.21875" bestFit="1" customWidth="1"/>
    <col min="9" max="11" width="23.77734375" customWidth="1"/>
    <col min="12" max="12" width="59" customWidth="1"/>
    <col min="13" max="13" width="27.21875" bestFit="1" customWidth="1"/>
    <col min="14" max="14" width="24" bestFit="1" customWidth="1"/>
  </cols>
  <sheetData>
    <row r="1" spans="1:14" ht="57.6">
      <c r="A1" s="136" t="s">
        <v>56</v>
      </c>
      <c r="B1" s="137" t="s">
        <v>57</v>
      </c>
      <c r="C1" s="137" t="s">
        <v>58</v>
      </c>
      <c r="D1" s="137" t="s">
        <v>59</v>
      </c>
      <c r="E1" s="137" t="s">
        <v>60</v>
      </c>
      <c r="F1" s="137" t="s">
        <v>61</v>
      </c>
      <c r="G1" s="137" t="s">
        <v>62</v>
      </c>
      <c r="H1" s="137" t="s">
        <v>155</v>
      </c>
      <c r="I1" s="137" t="s">
        <v>64</v>
      </c>
      <c r="J1" s="137" t="s">
        <v>65</v>
      </c>
      <c r="K1" s="137" t="s">
        <v>66</v>
      </c>
      <c r="L1" s="137" t="s">
        <v>147</v>
      </c>
      <c r="M1" s="137" t="s">
        <v>292</v>
      </c>
      <c r="N1" s="137" t="s">
        <v>238</v>
      </c>
    </row>
    <row r="2" spans="1:14" ht="37.799999999999997" customHeight="1">
      <c r="A2" s="138" t="s">
        <v>0</v>
      </c>
      <c r="B2" s="139" t="s">
        <v>1</v>
      </c>
      <c r="C2" s="139" t="s">
        <v>2</v>
      </c>
      <c r="D2" s="139" t="s">
        <v>3</v>
      </c>
      <c r="E2" s="140">
        <v>45658</v>
      </c>
      <c r="F2" s="140">
        <v>45747</v>
      </c>
      <c r="G2" s="139" t="s">
        <v>171</v>
      </c>
      <c r="H2" s="141">
        <v>12000</v>
      </c>
      <c r="I2" s="139" t="s">
        <v>5</v>
      </c>
      <c r="J2" s="142">
        <v>24000</v>
      </c>
      <c r="K2" s="139" t="s">
        <v>5</v>
      </c>
      <c r="L2" s="83"/>
      <c r="M2" s="141">
        <f>RESIDENT_CLEAN[[#This Row],[Monthly Rent]]*2</f>
        <v>24000</v>
      </c>
      <c r="N2" s="141">
        <f>IF(I2="No",M2,IF(J2&lt;M2,M2-J2,0))</f>
        <v>0</v>
      </c>
    </row>
    <row r="3" spans="1:14" ht="37.799999999999997" customHeight="1">
      <c r="A3" s="143" t="s">
        <v>6</v>
      </c>
      <c r="B3" s="144" t="s">
        <v>115</v>
      </c>
      <c r="C3" s="144" t="s">
        <v>8</v>
      </c>
      <c r="D3" s="144" t="s">
        <v>9</v>
      </c>
      <c r="E3" s="145">
        <v>45672</v>
      </c>
      <c r="F3" s="145"/>
      <c r="G3" s="144" t="s">
        <v>10</v>
      </c>
      <c r="H3" s="146">
        <v>9500</v>
      </c>
      <c r="I3" s="144" t="s">
        <v>5</v>
      </c>
      <c r="J3" s="147">
        <v>19000</v>
      </c>
      <c r="K3" s="144" t="s">
        <v>11</v>
      </c>
      <c r="L3" s="99" t="s">
        <v>201</v>
      </c>
      <c r="M3" s="146">
        <f>RESIDENT_CLEAN[[#This Row],[Monthly Rent]]*2</f>
        <v>19000</v>
      </c>
      <c r="N3" s="146">
        <f>IF(I3="No",M3,IF(J3&lt;M3,M3-J3,0))</f>
        <v>0</v>
      </c>
    </row>
    <row r="4" spans="1:14" ht="28.8">
      <c r="A4" s="143" t="s">
        <v>12</v>
      </c>
      <c r="B4" s="144" t="s">
        <v>142</v>
      </c>
      <c r="C4" s="144" t="s">
        <v>2</v>
      </c>
      <c r="D4" s="144" t="s">
        <v>3</v>
      </c>
      <c r="E4" s="145">
        <v>45667</v>
      </c>
      <c r="F4" s="145">
        <v>45777</v>
      </c>
      <c r="G4" s="144" t="s">
        <v>171</v>
      </c>
      <c r="H4" s="146">
        <v>12000</v>
      </c>
      <c r="I4" s="144" t="s">
        <v>11</v>
      </c>
      <c r="J4" s="144">
        <v>0</v>
      </c>
      <c r="K4" s="144" t="s">
        <v>11</v>
      </c>
      <c r="L4" s="98" t="s">
        <v>172</v>
      </c>
      <c r="M4" s="146">
        <f>RESIDENT_CLEAN[[#This Row],[Monthly Rent]]*2</f>
        <v>24000</v>
      </c>
      <c r="N4" s="146">
        <f t="shared" ref="N4:N16" si="0">IF(I4="No",M4,IF(J4&lt;M4,M4-J4,0))</f>
        <v>24000</v>
      </c>
    </row>
    <row r="5" spans="1:14" ht="43.8">
      <c r="A5" s="143" t="s">
        <v>15</v>
      </c>
      <c r="B5" s="144" t="s">
        <v>16</v>
      </c>
      <c r="C5" s="144" t="s">
        <v>17</v>
      </c>
      <c r="D5" s="144" t="s">
        <v>18</v>
      </c>
      <c r="E5" s="145">
        <v>45689</v>
      </c>
      <c r="F5" s="145">
        <v>45716</v>
      </c>
      <c r="G5" s="144" t="s">
        <v>171</v>
      </c>
      <c r="H5" s="146">
        <v>11000</v>
      </c>
      <c r="I5" s="144" t="s">
        <v>5</v>
      </c>
      <c r="J5" s="147">
        <v>22000</v>
      </c>
      <c r="K5" s="144" t="s">
        <v>5</v>
      </c>
      <c r="L5" s="99" t="s">
        <v>178</v>
      </c>
      <c r="M5" s="146">
        <f>RESIDENT_CLEAN[[#This Row],[Monthly Rent]]*2</f>
        <v>22000</v>
      </c>
      <c r="N5" s="146">
        <f t="shared" si="0"/>
        <v>0</v>
      </c>
    </row>
    <row r="6" spans="1:14" ht="43.8">
      <c r="A6" s="143" t="s">
        <v>20</v>
      </c>
      <c r="B6" s="144" t="s">
        <v>126</v>
      </c>
      <c r="C6" s="144" t="s">
        <v>8</v>
      </c>
      <c r="D6" s="144" t="s">
        <v>22</v>
      </c>
      <c r="E6" s="145">
        <v>45708</v>
      </c>
      <c r="F6" s="145"/>
      <c r="G6" s="144" t="s">
        <v>10</v>
      </c>
      <c r="H6" s="146">
        <v>8000</v>
      </c>
      <c r="I6" s="144" t="s">
        <v>5</v>
      </c>
      <c r="J6" s="147">
        <v>16000</v>
      </c>
      <c r="K6" s="144" t="s">
        <v>11</v>
      </c>
      <c r="L6" s="99" t="s">
        <v>173</v>
      </c>
      <c r="M6" s="146">
        <f>RESIDENT_CLEAN[[#This Row],[Monthly Rent]]*2</f>
        <v>16000</v>
      </c>
      <c r="N6" s="146">
        <f t="shared" si="0"/>
        <v>0</v>
      </c>
    </row>
    <row r="7" spans="1:14" ht="37.799999999999997" customHeight="1">
      <c r="A7" s="148" t="s">
        <v>24</v>
      </c>
      <c r="B7" s="149" t="s">
        <v>25</v>
      </c>
      <c r="C7" s="149" t="s">
        <v>26</v>
      </c>
      <c r="D7" s="149" t="s">
        <v>27</v>
      </c>
      <c r="E7" s="150">
        <v>45717</v>
      </c>
      <c r="F7" s="150"/>
      <c r="G7" s="149" t="s">
        <v>10</v>
      </c>
      <c r="H7" s="151">
        <v>10500</v>
      </c>
      <c r="I7" s="149" t="s">
        <v>11</v>
      </c>
      <c r="J7" s="152">
        <v>0</v>
      </c>
      <c r="K7" s="149" t="s">
        <v>11</v>
      </c>
      <c r="L7" s="84"/>
      <c r="M7" s="151">
        <f>RESIDENT_CLEAN[[#This Row],[Monthly Rent]]*2</f>
        <v>21000</v>
      </c>
      <c r="N7" s="151">
        <f t="shared" si="0"/>
        <v>21000</v>
      </c>
    </row>
    <row r="8" spans="1:14" ht="37.799999999999997" customHeight="1">
      <c r="A8" s="138" t="s">
        <v>28</v>
      </c>
      <c r="B8" s="139" t="s">
        <v>29</v>
      </c>
      <c r="C8" s="139" t="s">
        <v>17</v>
      </c>
      <c r="D8" s="139" t="s">
        <v>30</v>
      </c>
      <c r="E8" s="140">
        <v>45721</v>
      </c>
      <c r="F8" s="140"/>
      <c r="G8" s="139" t="s">
        <v>10</v>
      </c>
      <c r="H8" s="141">
        <v>11000</v>
      </c>
      <c r="I8" s="139" t="s">
        <v>5</v>
      </c>
      <c r="J8" s="142">
        <v>22000</v>
      </c>
      <c r="K8" s="139" t="s">
        <v>11</v>
      </c>
      <c r="L8" s="83"/>
      <c r="M8" s="141">
        <f>RESIDENT_CLEAN[[#This Row],[Monthly Rent]]*2</f>
        <v>22000</v>
      </c>
      <c r="N8" s="141">
        <f t="shared" si="0"/>
        <v>0</v>
      </c>
    </row>
    <row r="9" spans="1:14" ht="64.8">
      <c r="A9" s="143" t="s">
        <v>31</v>
      </c>
      <c r="B9" s="144" t="s">
        <v>32</v>
      </c>
      <c r="C9" s="144" t="s">
        <v>2</v>
      </c>
      <c r="D9" s="144" t="s">
        <v>33</v>
      </c>
      <c r="E9" s="145">
        <v>45726</v>
      </c>
      <c r="F9" s="145">
        <v>45721</v>
      </c>
      <c r="G9" s="144" t="s">
        <v>170</v>
      </c>
      <c r="H9" s="146">
        <v>12000</v>
      </c>
      <c r="I9" s="144" t="s">
        <v>5</v>
      </c>
      <c r="J9" s="147">
        <v>24000</v>
      </c>
      <c r="K9" s="144" t="s">
        <v>5</v>
      </c>
      <c r="L9" s="99" t="s">
        <v>174</v>
      </c>
      <c r="M9" s="146">
        <f>RESIDENT_CLEAN[[#This Row],[Monthly Rent]]*2</f>
        <v>24000</v>
      </c>
      <c r="N9" s="146">
        <f t="shared" si="0"/>
        <v>0</v>
      </c>
    </row>
    <row r="10" spans="1:14" ht="28.8">
      <c r="A10" s="143" t="s">
        <v>35</v>
      </c>
      <c r="B10" s="144" t="s">
        <v>36</v>
      </c>
      <c r="C10" s="144" t="s">
        <v>26</v>
      </c>
      <c r="D10" s="144" t="s">
        <v>27</v>
      </c>
      <c r="E10" s="145">
        <v>45731</v>
      </c>
      <c r="F10" s="145"/>
      <c r="G10" s="144" t="s">
        <v>10</v>
      </c>
      <c r="H10" s="146">
        <v>10500</v>
      </c>
      <c r="I10" s="144" t="s">
        <v>5</v>
      </c>
      <c r="J10" s="146">
        <v>21000</v>
      </c>
      <c r="K10" s="144" t="s">
        <v>11</v>
      </c>
      <c r="L10" s="98" t="s">
        <v>175</v>
      </c>
      <c r="M10" s="146">
        <f>RESIDENT_CLEAN[[#This Row],[Monthly Rent]]*2</f>
        <v>21000</v>
      </c>
      <c r="N10" s="146">
        <f t="shared" si="0"/>
        <v>0</v>
      </c>
    </row>
    <row r="11" spans="1:14" ht="37.799999999999997" customHeight="1">
      <c r="A11" s="148" t="s">
        <v>38</v>
      </c>
      <c r="B11" s="149" t="s">
        <v>39</v>
      </c>
      <c r="C11" s="149" t="s">
        <v>8</v>
      </c>
      <c r="D11" s="149" t="s">
        <v>40</v>
      </c>
      <c r="E11" s="150">
        <v>45748</v>
      </c>
      <c r="F11" s="150"/>
      <c r="G11" s="149" t="s">
        <v>10</v>
      </c>
      <c r="H11" s="151">
        <v>9500</v>
      </c>
      <c r="I11" s="149" t="s">
        <v>11</v>
      </c>
      <c r="J11" s="152">
        <v>0</v>
      </c>
      <c r="K11" s="149" t="s">
        <v>11</v>
      </c>
      <c r="L11" s="84"/>
      <c r="M11" s="151">
        <f>RESIDENT_CLEAN[[#This Row],[Monthly Rent]]*2</f>
        <v>19000</v>
      </c>
      <c r="N11" s="151">
        <f t="shared" si="0"/>
        <v>19000</v>
      </c>
    </row>
    <row r="12" spans="1:14" ht="43.8">
      <c r="A12" s="143" t="s">
        <v>41</v>
      </c>
      <c r="B12" s="144" t="s">
        <v>42</v>
      </c>
      <c r="C12" s="144" t="s">
        <v>17</v>
      </c>
      <c r="D12" s="144" t="s">
        <v>43</v>
      </c>
      <c r="E12" s="145">
        <v>45748</v>
      </c>
      <c r="F12" s="145"/>
      <c r="G12" s="144" t="s">
        <v>10</v>
      </c>
      <c r="H12" s="146">
        <v>11000</v>
      </c>
      <c r="I12" s="144" t="s">
        <v>5</v>
      </c>
      <c r="J12" s="147">
        <v>11000</v>
      </c>
      <c r="K12" s="144" t="s">
        <v>148</v>
      </c>
      <c r="L12" s="99" t="s">
        <v>176</v>
      </c>
      <c r="M12" s="146">
        <f>RESIDENT_CLEAN[[#This Row],[Monthly Rent]]*2</f>
        <v>22000</v>
      </c>
      <c r="N12" s="146">
        <f t="shared" si="0"/>
        <v>11000</v>
      </c>
    </row>
    <row r="13" spans="1:14" ht="37.799999999999997" customHeight="1">
      <c r="A13" s="148" t="s">
        <v>45</v>
      </c>
      <c r="B13" s="149" t="s">
        <v>46</v>
      </c>
      <c r="C13" s="149" t="s">
        <v>2</v>
      </c>
      <c r="D13" s="149" t="s">
        <v>47</v>
      </c>
      <c r="E13" s="150">
        <v>45762</v>
      </c>
      <c r="F13" s="150"/>
      <c r="G13" s="149" t="s">
        <v>10</v>
      </c>
      <c r="H13" s="151">
        <v>12000</v>
      </c>
      <c r="I13" s="149" t="s">
        <v>5</v>
      </c>
      <c r="J13" s="152">
        <v>24000</v>
      </c>
      <c r="K13" s="149" t="s">
        <v>11</v>
      </c>
      <c r="L13" s="84"/>
      <c r="M13" s="151">
        <f>RESIDENT_CLEAN[[#This Row],[Monthly Rent]]*2</f>
        <v>24000</v>
      </c>
      <c r="N13" s="151">
        <f t="shared" si="0"/>
        <v>0</v>
      </c>
    </row>
    <row r="14" spans="1:14" ht="28.8">
      <c r="A14" s="143" t="s">
        <v>48</v>
      </c>
      <c r="B14" s="144" t="s">
        <v>131</v>
      </c>
      <c r="C14" s="144" t="s">
        <v>26</v>
      </c>
      <c r="D14" s="144" t="s">
        <v>50</v>
      </c>
      <c r="E14" s="145">
        <v>45778</v>
      </c>
      <c r="F14" s="145"/>
      <c r="G14" s="144" t="s">
        <v>10</v>
      </c>
      <c r="H14" s="146">
        <v>10500</v>
      </c>
      <c r="I14" s="144" t="s">
        <v>5</v>
      </c>
      <c r="J14" s="147">
        <v>21000</v>
      </c>
      <c r="K14" s="144" t="s">
        <v>11</v>
      </c>
      <c r="L14" s="99" t="s">
        <v>201</v>
      </c>
      <c r="M14" s="146">
        <f>RESIDENT_CLEAN[[#This Row],[Monthly Rent]]*2</f>
        <v>21000</v>
      </c>
      <c r="N14" s="146">
        <f t="shared" si="0"/>
        <v>0</v>
      </c>
    </row>
    <row r="15" spans="1:14" ht="43.8">
      <c r="A15" s="143" t="s">
        <v>51</v>
      </c>
      <c r="B15" s="144" t="s">
        <v>52</v>
      </c>
      <c r="C15" s="144" t="s">
        <v>8</v>
      </c>
      <c r="D15" s="144" t="s">
        <v>9</v>
      </c>
      <c r="E15" s="145">
        <v>45787</v>
      </c>
      <c r="F15" s="145"/>
      <c r="G15" s="144" t="s">
        <v>10</v>
      </c>
      <c r="H15" s="146">
        <v>9500</v>
      </c>
      <c r="I15" s="144" t="s">
        <v>11</v>
      </c>
      <c r="J15" s="144">
        <v>0</v>
      </c>
      <c r="K15" s="144" t="s">
        <v>11</v>
      </c>
      <c r="L15" s="99" t="s">
        <v>177</v>
      </c>
      <c r="M15" s="146">
        <f>RESIDENT_CLEAN[[#This Row],[Monthly Rent]]*2</f>
        <v>19000</v>
      </c>
      <c r="N15" s="146">
        <f t="shared" si="0"/>
        <v>19000</v>
      </c>
    </row>
    <row r="16" spans="1:14" ht="37.799999999999997" customHeight="1">
      <c r="A16" s="138" t="s">
        <v>54</v>
      </c>
      <c r="B16" s="139" t="s">
        <v>55</v>
      </c>
      <c r="C16" s="139" t="s">
        <v>17</v>
      </c>
      <c r="D16" s="139" t="s">
        <v>18</v>
      </c>
      <c r="E16" s="140">
        <v>45809</v>
      </c>
      <c r="F16" s="140"/>
      <c r="G16" s="139" t="s">
        <v>10</v>
      </c>
      <c r="H16" s="141">
        <v>11000</v>
      </c>
      <c r="I16" s="139" t="s">
        <v>5</v>
      </c>
      <c r="J16" s="142">
        <v>22000</v>
      </c>
      <c r="K16" s="139" t="s">
        <v>11</v>
      </c>
      <c r="L16" s="83"/>
      <c r="M16" s="141">
        <f>RESIDENT_CLEAN[[#This Row],[Monthly Rent]]*2</f>
        <v>22000</v>
      </c>
      <c r="N16" s="141">
        <f t="shared" si="0"/>
        <v>0</v>
      </c>
    </row>
    <row r="17" spans="1:14" ht="37.200000000000003" customHeight="1">
      <c r="A17" s="153" t="s">
        <v>163</v>
      </c>
      <c r="B17" s="154"/>
      <c r="C17" s="154"/>
      <c r="D17" s="154"/>
      <c r="E17" s="155"/>
      <c r="F17" s="154"/>
      <c r="G17" s="154">
        <f>SUBTOTAL(103,RESIDENT_CLEAN[Status])</f>
        <v>15</v>
      </c>
      <c r="H17" s="156">
        <f>SUBTOTAL(109,RESIDENT_CLEAN[Monthly Rent])</f>
        <v>160000</v>
      </c>
      <c r="I17" s="154"/>
      <c r="J17" s="154"/>
      <c r="K17" s="154"/>
      <c r="L17" s="154"/>
      <c r="M17" s="156">
        <f>SUBTOTAL(109,RESIDENT_CLEAN[Correct Deposit])</f>
        <v>320000</v>
      </c>
      <c r="N17" s="156">
        <f>SUBTOTAL(109,RESIDENT_CLEAN[Deposit Gap])</f>
        <v>94000</v>
      </c>
    </row>
  </sheetData>
  <conditionalFormatting sqref="C21 C18">
    <cfRule type="duplicateValues" dxfId="16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438DA-35D6-426F-A50E-45E8934EA472}">
  <dimension ref="A1:K24"/>
  <sheetViews>
    <sheetView zoomScale="96" workbookViewId="0">
      <selection activeCell="G25" sqref="G25"/>
    </sheetView>
  </sheetViews>
  <sheetFormatPr defaultRowHeight="14.4"/>
  <cols>
    <col min="1" max="1" width="8.88671875" customWidth="1"/>
    <col min="2" max="2" width="13" bestFit="1" customWidth="1"/>
    <col min="3" max="3" width="15.109375" bestFit="1" customWidth="1"/>
    <col min="4" max="4" width="19.77734375" customWidth="1"/>
    <col min="5" max="5" width="16.77734375" bestFit="1" customWidth="1"/>
    <col min="6" max="6" width="17.109375" bestFit="1" customWidth="1"/>
    <col min="7" max="7" width="15.109375" bestFit="1" customWidth="1"/>
    <col min="8" max="8" width="32.6640625" customWidth="1"/>
    <col min="9" max="9" width="20.21875" bestFit="1" customWidth="1"/>
    <col min="10" max="10" width="20.21875" customWidth="1"/>
    <col min="11" max="11" width="10.77734375" bestFit="1" customWidth="1"/>
  </cols>
  <sheetData>
    <row r="1" spans="1:11" ht="25.2" customHeight="1">
      <c r="A1" s="41" t="s">
        <v>67</v>
      </c>
      <c r="B1" s="42" t="s">
        <v>68</v>
      </c>
      <c r="C1" s="42" t="s">
        <v>69</v>
      </c>
      <c r="D1" s="43" t="s">
        <v>70</v>
      </c>
      <c r="E1" s="43" t="s">
        <v>71</v>
      </c>
      <c r="F1" s="43" t="s">
        <v>72</v>
      </c>
      <c r="G1" s="43" t="s">
        <v>73</v>
      </c>
      <c r="H1" s="43" t="s">
        <v>62</v>
      </c>
      <c r="I1" s="43" t="s">
        <v>58</v>
      </c>
      <c r="J1" s="43" t="s">
        <v>202</v>
      </c>
      <c r="K1" s="44" t="s">
        <v>179</v>
      </c>
    </row>
    <row r="2" spans="1:11">
      <c r="A2" s="45" t="s">
        <v>74</v>
      </c>
      <c r="B2" s="46" t="s">
        <v>0</v>
      </c>
      <c r="C2" s="157">
        <v>45658</v>
      </c>
      <c r="D2" s="47">
        <v>12000</v>
      </c>
      <c r="E2" s="47">
        <v>12000</v>
      </c>
      <c r="F2" s="48">
        <v>45660</v>
      </c>
      <c r="G2" s="46" t="s">
        <v>75</v>
      </c>
      <c r="H2" s="46" t="s">
        <v>76</v>
      </c>
      <c r="I2" s="46" t="str">
        <f>VLOOKUP(PAYMENTS[[#This Row],[Resident ID]],RESIDENT_CLEAN[[#Headers],[#Data]],3,FALSE)</f>
        <v>Koramangala</v>
      </c>
      <c r="J2" s="47">
        <f>PAYMENTS[[#This Row],[Amount Due (₹)]]-PAYMENTS[[#This Row],[Amount Paid (₹)]]</f>
        <v>0</v>
      </c>
      <c r="K2" s="49" t="str">
        <f>VLOOKUP(PAYMENTS[[#This Row],[Resident ID]],RESIDENT_CLEAN[#All],7,TRUE)</f>
        <v>Moved-out</v>
      </c>
    </row>
    <row r="3" spans="1:11">
      <c r="A3" s="45" t="s">
        <v>77</v>
      </c>
      <c r="B3" s="46" t="s">
        <v>6</v>
      </c>
      <c r="C3" s="157">
        <v>45658</v>
      </c>
      <c r="D3" s="47">
        <v>9500</v>
      </c>
      <c r="E3" s="47">
        <v>9500</v>
      </c>
      <c r="F3" s="48">
        <v>45662</v>
      </c>
      <c r="G3" s="46" t="s">
        <v>78</v>
      </c>
      <c r="H3" s="46" t="s">
        <v>76</v>
      </c>
      <c r="I3" s="46" t="str">
        <f>VLOOKUP(PAYMENTS[[#This Row],[Resident ID]],RESIDENT_CLEAN[[#Headers],[#Data]],3,FALSE)</f>
        <v>Whitefield</v>
      </c>
      <c r="J3" s="47">
        <f>PAYMENTS[[#This Row],[Amount Due (₹)]]-PAYMENTS[[#This Row],[Amount Paid (₹)]]</f>
        <v>0</v>
      </c>
      <c r="K3" s="49" t="str">
        <f>VLOOKUP(PAYMENTS[[#This Row],[Resident ID]],RESIDENT_CLEAN[#All],7,TRUE)</f>
        <v>Active</v>
      </c>
    </row>
    <row r="4" spans="1:11">
      <c r="A4" s="50" t="s">
        <v>79</v>
      </c>
      <c r="B4" s="51" t="s">
        <v>12</v>
      </c>
      <c r="C4" s="158">
        <v>45658</v>
      </c>
      <c r="D4" s="52">
        <v>12000</v>
      </c>
      <c r="E4" s="52">
        <v>6000</v>
      </c>
      <c r="F4" s="53">
        <v>45667</v>
      </c>
      <c r="G4" s="51" t="s">
        <v>80</v>
      </c>
      <c r="H4" s="51" t="s">
        <v>197</v>
      </c>
      <c r="I4" s="51" t="str">
        <f>VLOOKUP(PAYMENTS[[#This Row],[Resident ID]],RESIDENT_CLEAN[[#Headers],[#Data]],3,FALSE)</f>
        <v>Koramangala</v>
      </c>
      <c r="J4" s="52">
        <f>PAYMENTS[[#This Row],[Amount Due (₹)]]-PAYMENTS[[#This Row],[Amount Paid (₹)]]</f>
        <v>6000</v>
      </c>
      <c r="K4" s="54" t="str">
        <f>VLOOKUP(PAYMENTS[[#This Row],[Resident ID]],RESIDENT_CLEAN[#All],7,TRUE)</f>
        <v>Moved-out</v>
      </c>
    </row>
    <row r="5" spans="1:11">
      <c r="A5" s="55" t="s">
        <v>81</v>
      </c>
      <c r="B5" s="56" t="s">
        <v>15</v>
      </c>
      <c r="C5" s="159">
        <v>45689</v>
      </c>
      <c r="D5" s="57">
        <v>11000</v>
      </c>
      <c r="E5" s="57">
        <v>0</v>
      </c>
      <c r="F5" s="58"/>
      <c r="G5" s="56"/>
      <c r="H5" s="56" t="s">
        <v>82</v>
      </c>
      <c r="I5" s="56" t="str">
        <f>VLOOKUP(PAYMENTS[[#This Row],[Resident ID]],RESIDENT_CLEAN[[#Headers],[#Data]],3,FALSE)</f>
        <v>HSR Layout</v>
      </c>
      <c r="J5" s="57">
        <f>PAYMENTS[[#This Row],[Amount Due (₹)]]-PAYMENTS[[#This Row],[Amount Paid (₹)]]</f>
        <v>11000</v>
      </c>
      <c r="K5" s="59" t="str">
        <f>VLOOKUP(PAYMENTS[[#This Row],[Resident ID]],RESIDENT_CLEAN[#All],7,TRUE)</f>
        <v>Moved-out</v>
      </c>
    </row>
    <row r="6" spans="1:11">
      <c r="A6" s="45" t="s">
        <v>83</v>
      </c>
      <c r="B6" s="46" t="s">
        <v>20</v>
      </c>
      <c r="C6" s="157">
        <v>45689</v>
      </c>
      <c r="D6" s="47">
        <v>7500</v>
      </c>
      <c r="E6" s="47">
        <v>7500</v>
      </c>
      <c r="F6" s="48">
        <v>45690</v>
      </c>
      <c r="G6" s="46" t="s">
        <v>75</v>
      </c>
      <c r="H6" s="46" t="s">
        <v>76</v>
      </c>
      <c r="I6" s="46" t="str">
        <f>VLOOKUP(PAYMENTS[[#This Row],[Resident ID]],RESIDENT_CLEAN[[#Headers],[#Data]],3,FALSE)</f>
        <v>Whitefield</v>
      </c>
      <c r="J6" s="47">
        <f>PAYMENTS[[#This Row],[Amount Due (₹)]]-PAYMENTS[[#This Row],[Amount Paid (₹)]]</f>
        <v>0</v>
      </c>
      <c r="K6" s="49" t="str">
        <f>VLOOKUP(PAYMENTS[[#This Row],[Resident ID]],RESIDENT_CLEAN[#All],7,TRUE)</f>
        <v>Active</v>
      </c>
    </row>
    <row r="7" spans="1:11">
      <c r="A7" s="45" t="s">
        <v>84</v>
      </c>
      <c r="B7" s="46" t="s">
        <v>24</v>
      </c>
      <c r="C7" s="157">
        <v>45717</v>
      </c>
      <c r="D7" s="47">
        <v>10500</v>
      </c>
      <c r="E7" s="47">
        <v>10500</v>
      </c>
      <c r="F7" s="48">
        <v>45717</v>
      </c>
      <c r="G7" s="46" t="s">
        <v>75</v>
      </c>
      <c r="H7" s="46" t="s">
        <v>76</v>
      </c>
      <c r="I7" s="46" t="str">
        <f>VLOOKUP(PAYMENTS[[#This Row],[Resident ID]],RESIDENT_CLEAN[[#Headers],[#Data]],3,FALSE)</f>
        <v>Indiranagar</v>
      </c>
      <c r="J7" s="47">
        <f>PAYMENTS[[#This Row],[Amount Due (₹)]]-PAYMENTS[[#This Row],[Amount Paid (₹)]]</f>
        <v>0</v>
      </c>
      <c r="K7" s="49" t="str">
        <f>VLOOKUP(PAYMENTS[[#This Row],[Resident ID]],RESIDENT_CLEAN[#All],7,TRUE)</f>
        <v>Active</v>
      </c>
    </row>
    <row r="8" spans="1:11">
      <c r="A8" s="45" t="s">
        <v>85</v>
      </c>
      <c r="B8" s="46" t="s">
        <v>28</v>
      </c>
      <c r="C8" s="157">
        <v>45717</v>
      </c>
      <c r="D8" s="47">
        <v>11000</v>
      </c>
      <c r="E8" s="47">
        <v>11000</v>
      </c>
      <c r="F8" s="48">
        <v>45720</v>
      </c>
      <c r="G8" s="46" t="s">
        <v>78</v>
      </c>
      <c r="H8" s="46" t="s">
        <v>76</v>
      </c>
      <c r="I8" s="46" t="str">
        <f>VLOOKUP(PAYMENTS[[#This Row],[Resident ID]],RESIDENT_CLEAN[[#Headers],[#Data]],3,FALSE)</f>
        <v>HSR Layout</v>
      </c>
      <c r="J8" s="47">
        <f>PAYMENTS[[#This Row],[Amount Due (₹)]]-PAYMENTS[[#This Row],[Amount Paid (₹)]]</f>
        <v>0</v>
      </c>
      <c r="K8" s="49" t="str">
        <f>VLOOKUP(PAYMENTS[[#This Row],[Resident ID]],RESIDENT_CLEAN[#All],7,TRUE)</f>
        <v>Active</v>
      </c>
    </row>
    <row r="9" spans="1:11">
      <c r="A9" s="45" t="s">
        <v>86</v>
      </c>
      <c r="B9" s="46" t="s">
        <v>6</v>
      </c>
      <c r="C9" s="157">
        <v>45689</v>
      </c>
      <c r="D9" s="47">
        <v>9500</v>
      </c>
      <c r="E9" s="47">
        <v>9500</v>
      </c>
      <c r="F9" s="48">
        <v>45695</v>
      </c>
      <c r="G9" s="46" t="s">
        <v>75</v>
      </c>
      <c r="H9" s="46" t="s">
        <v>76</v>
      </c>
      <c r="I9" s="46" t="str">
        <f>VLOOKUP(PAYMENTS[[#This Row],[Resident ID]],RESIDENT_CLEAN[[#Headers],[#Data]],3,FALSE)</f>
        <v>Whitefield</v>
      </c>
      <c r="J9" s="47">
        <f>PAYMENTS[[#This Row],[Amount Due (₹)]]-PAYMENTS[[#This Row],[Amount Paid (₹)]]</f>
        <v>0</v>
      </c>
      <c r="K9" s="49" t="str">
        <f>VLOOKUP(PAYMENTS[[#This Row],[Resident ID]],RESIDENT_CLEAN[#All],7,TRUE)</f>
        <v>Active</v>
      </c>
    </row>
    <row r="10" spans="1:11">
      <c r="A10" s="45" t="s">
        <v>87</v>
      </c>
      <c r="B10" s="46" t="s">
        <v>31</v>
      </c>
      <c r="C10" s="157">
        <v>45717</v>
      </c>
      <c r="D10" s="47">
        <v>12000</v>
      </c>
      <c r="E10" s="47">
        <v>12000</v>
      </c>
      <c r="F10" s="48">
        <v>45726</v>
      </c>
      <c r="G10" s="46" t="s">
        <v>80</v>
      </c>
      <c r="H10" s="46" t="s">
        <v>76</v>
      </c>
      <c r="I10" s="46" t="str">
        <f>VLOOKUP(PAYMENTS[[#This Row],[Resident ID]],RESIDENT_CLEAN[[#Headers],[#Data]],3,FALSE)</f>
        <v>Koramangala</v>
      </c>
      <c r="J10" s="47">
        <f>PAYMENTS[[#This Row],[Amount Due (₹)]]-PAYMENTS[[#This Row],[Amount Paid (₹)]]</f>
        <v>0</v>
      </c>
      <c r="K10" s="49" t="str">
        <f>VLOOKUP(PAYMENTS[[#This Row],[Resident ID]],RESIDENT_CLEAN[#All],7,TRUE)</f>
        <v xml:space="preserve">Moved-out </v>
      </c>
    </row>
    <row r="11" spans="1:11">
      <c r="A11" s="55" t="s">
        <v>88</v>
      </c>
      <c r="B11" s="56" t="s">
        <v>35</v>
      </c>
      <c r="C11" s="159">
        <v>45717</v>
      </c>
      <c r="D11" s="57">
        <v>10500</v>
      </c>
      <c r="E11" s="57">
        <v>0</v>
      </c>
      <c r="F11" s="58"/>
      <c r="G11" s="56"/>
      <c r="H11" s="56" t="s">
        <v>82</v>
      </c>
      <c r="I11" s="56" t="str">
        <f>VLOOKUP(PAYMENTS[[#This Row],[Resident ID]],RESIDENT_CLEAN[[#Headers],[#Data]],3,FALSE)</f>
        <v>Indiranagar</v>
      </c>
      <c r="J11" s="57">
        <f>PAYMENTS[[#This Row],[Amount Due (₹)]]-PAYMENTS[[#This Row],[Amount Paid (₹)]]</f>
        <v>10500</v>
      </c>
      <c r="K11" s="59" t="str">
        <f>VLOOKUP(PAYMENTS[[#This Row],[Resident ID]],RESIDENT_CLEAN[#All],7,TRUE)</f>
        <v>Active</v>
      </c>
    </row>
    <row r="12" spans="1:11">
      <c r="A12" s="45" t="s">
        <v>89</v>
      </c>
      <c r="B12" s="46" t="s">
        <v>38</v>
      </c>
      <c r="C12" s="157">
        <v>45748</v>
      </c>
      <c r="D12" s="47">
        <v>9500</v>
      </c>
      <c r="E12" s="47">
        <v>9500</v>
      </c>
      <c r="F12" s="48">
        <v>45749</v>
      </c>
      <c r="G12" s="46" t="s">
        <v>75</v>
      </c>
      <c r="H12" s="46" t="s">
        <v>76</v>
      </c>
      <c r="I12" s="46" t="str">
        <f>VLOOKUP(PAYMENTS[[#This Row],[Resident ID]],RESIDENT_CLEAN[[#Headers],[#Data]],3,FALSE)</f>
        <v>Whitefield</v>
      </c>
      <c r="J12" s="47">
        <f>PAYMENTS[[#This Row],[Amount Due (₹)]]-PAYMENTS[[#This Row],[Amount Paid (₹)]]</f>
        <v>0</v>
      </c>
      <c r="K12" s="49" t="str">
        <f>VLOOKUP(PAYMENTS[[#This Row],[Resident ID]],RESIDENT_CLEAN[#All],7,TRUE)</f>
        <v>Active</v>
      </c>
    </row>
    <row r="13" spans="1:11">
      <c r="A13" s="45" t="s">
        <v>90</v>
      </c>
      <c r="B13" s="46" t="s">
        <v>41</v>
      </c>
      <c r="C13" s="157">
        <v>45748</v>
      </c>
      <c r="D13" s="47">
        <v>11000</v>
      </c>
      <c r="E13" s="47">
        <v>11000</v>
      </c>
      <c r="F13" s="48">
        <v>45752</v>
      </c>
      <c r="G13" s="46" t="s">
        <v>78</v>
      </c>
      <c r="H13" s="46" t="s">
        <v>76</v>
      </c>
      <c r="I13" s="46" t="str">
        <f>VLOOKUP(PAYMENTS[[#This Row],[Resident ID]],RESIDENT_CLEAN[[#Headers],[#Data]],3,FALSE)</f>
        <v>HSR Layout</v>
      </c>
      <c r="J13" s="47">
        <f>PAYMENTS[[#This Row],[Amount Due (₹)]]-PAYMENTS[[#This Row],[Amount Paid (₹)]]</f>
        <v>0</v>
      </c>
      <c r="K13" s="49" t="str">
        <f>VLOOKUP(PAYMENTS[[#This Row],[Resident ID]],RESIDENT_CLEAN[#All],7,TRUE)</f>
        <v>Active</v>
      </c>
    </row>
    <row r="14" spans="1:11">
      <c r="A14" s="45" t="s">
        <v>91</v>
      </c>
      <c r="B14" s="46" t="s">
        <v>45</v>
      </c>
      <c r="C14" s="157">
        <v>45748</v>
      </c>
      <c r="D14" s="47">
        <v>12000</v>
      </c>
      <c r="E14" s="47">
        <v>12000</v>
      </c>
      <c r="F14" s="48">
        <v>45750</v>
      </c>
      <c r="G14" s="46" t="s">
        <v>75</v>
      </c>
      <c r="H14" s="46" t="s">
        <v>76</v>
      </c>
      <c r="I14" s="46" t="str">
        <f>VLOOKUP(PAYMENTS[[#This Row],[Resident ID]],RESIDENT_CLEAN[[#Headers],[#Data]],3,FALSE)</f>
        <v>Koramangala</v>
      </c>
      <c r="J14" s="47">
        <f>PAYMENTS[[#This Row],[Amount Due (₹)]]-PAYMENTS[[#This Row],[Amount Paid (₹)]]</f>
        <v>0</v>
      </c>
      <c r="K14" s="49" t="str">
        <f>VLOOKUP(PAYMENTS[[#This Row],[Resident ID]],RESIDENT_CLEAN[#All],7,TRUE)</f>
        <v>Active</v>
      </c>
    </row>
    <row r="15" spans="1:11">
      <c r="A15" s="45" t="s">
        <v>92</v>
      </c>
      <c r="B15" s="46" t="s">
        <v>20</v>
      </c>
      <c r="C15" s="157">
        <v>45717</v>
      </c>
      <c r="D15" s="47">
        <v>7500</v>
      </c>
      <c r="E15" s="47">
        <v>7500</v>
      </c>
      <c r="F15" s="48">
        <v>45719</v>
      </c>
      <c r="G15" s="46" t="s">
        <v>75</v>
      </c>
      <c r="H15" s="46" t="s">
        <v>76</v>
      </c>
      <c r="I15" s="46" t="str">
        <f>VLOOKUP(PAYMENTS[[#This Row],[Resident ID]],RESIDENT_CLEAN[[#Headers],[#Data]],3,FALSE)</f>
        <v>Whitefield</v>
      </c>
      <c r="J15" s="47">
        <f>PAYMENTS[[#This Row],[Amount Due (₹)]]-PAYMENTS[[#This Row],[Amount Paid (₹)]]</f>
        <v>0</v>
      </c>
      <c r="K15" s="49" t="str">
        <f>VLOOKUP(PAYMENTS[[#This Row],[Resident ID]],RESIDENT_CLEAN[#All],7,TRUE)</f>
        <v>Active</v>
      </c>
    </row>
    <row r="16" spans="1:11">
      <c r="A16" s="55" t="s">
        <v>93</v>
      </c>
      <c r="B16" s="56" t="s">
        <v>48</v>
      </c>
      <c r="C16" s="159">
        <v>45778</v>
      </c>
      <c r="D16" s="57">
        <v>10500</v>
      </c>
      <c r="E16" s="57">
        <v>0</v>
      </c>
      <c r="F16" s="58"/>
      <c r="G16" s="56"/>
      <c r="H16" s="56" t="s">
        <v>82</v>
      </c>
      <c r="I16" s="56" t="str">
        <f>VLOOKUP(PAYMENTS[[#This Row],[Resident ID]],RESIDENT_CLEAN[[#Headers],[#Data]],3,FALSE)</f>
        <v>Indiranagar</v>
      </c>
      <c r="J16" s="57">
        <f>PAYMENTS[[#This Row],[Amount Due (₹)]]-PAYMENTS[[#This Row],[Amount Paid (₹)]]</f>
        <v>10500</v>
      </c>
      <c r="K16" s="59" t="str">
        <f>VLOOKUP(PAYMENTS[[#This Row],[Resident ID]],RESIDENT_CLEAN[#All],7,TRUE)</f>
        <v>Active</v>
      </c>
    </row>
    <row r="17" spans="1:11">
      <c r="A17" s="50" t="s">
        <v>94</v>
      </c>
      <c r="B17" s="60" t="s">
        <v>24</v>
      </c>
      <c r="C17" s="160">
        <v>45748</v>
      </c>
      <c r="D17" s="61">
        <v>10500</v>
      </c>
      <c r="E17" s="61">
        <v>5000</v>
      </c>
      <c r="F17" s="62">
        <v>45755</v>
      </c>
      <c r="G17" s="60" t="s">
        <v>80</v>
      </c>
      <c r="H17" s="60" t="s">
        <v>197</v>
      </c>
      <c r="I17" s="60" t="str">
        <f>VLOOKUP(PAYMENTS[[#This Row],[Resident ID]],RESIDENT_CLEAN[[#Headers],[#Data]],3,FALSE)</f>
        <v>Indiranagar</v>
      </c>
      <c r="J17" s="61">
        <f>PAYMENTS[[#This Row],[Amount Due (₹)]]-PAYMENTS[[#This Row],[Amount Paid (₹)]]</f>
        <v>5500</v>
      </c>
      <c r="K17" s="63" t="str">
        <f>VLOOKUP(PAYMENTS[[#This Row],[Resident ID]],RESIDENT_CLEAN[#All],7,TRUE)</f>
        <v>Active</v>
      </c>
    </row>
    <row r="18" spans="1:11">
      <c r="A18" s="45" t="s">
        <v>95</v>
      </c>
      <c r="B18" s="46" t="s">
        <v>51</v>
      </c>
      <c r="C18" s="157">
        <v>45778</v>
      </c>
      <c r="D18" s="47">
        <v>9500</v>
      </c>
      <c r="E18" s="47">
        <v>9500</v>
      </c>
      <c r="F18" s="48">
        <v>45781</v>
      </c>
      <c r="G18" s="46" t="s">
        <v>75</v>
      </c>
      <c r="H18" s="46" t="s">
        <v>76</v>
      </c>
      <c r="I18" s="46" t="str">
        <f>VLOOKUP(PAYMENTS[[#This Row],[Resident ID]],RESIDENT_CLEAN[[#Headers],[#Data]],3,FALSE)</f>
        <v>Whitefield</v>
      </c>
      <c r="J18" s="47">
        <f>PAYMENTS[[#This Row],[Amount Due (₹)]]-PAYMENTS[[#This Row],[Amount Paid (₹)]]</f>
        <v>0</v>
      </c>
      <c r="K18" s="49" t="str">
        <f>VLOOKUP(PAYMENTS[[#This Row],[Resident ID]],RESIDENT_CLEAN[#All],7,TRUE)</f>
        <v>Active</v>
      </c>
    </row>
    <row r="19" spans="1:11">
      <c r="A19" s="55" t="s">
        <v>96</v>
      </c>
      <c r="B19" s="56" t="s">
        <v>54</v>
      </c>
      <c r="C19" s="159">
        <v>45809</v>
      </c>
      <c r="D19" s="57">
        <v>11000</v>
      </c>
      <c r="E19" s="57">
        <v>0</v>
      </c>
      <c r="F19" s="58"/>
      <c r="G19" s="56"/>
      <c r="H19" s="56" t="s">
        <v>82</v>
      </c>
      <c r="I19" s="56" t="str">
        <f>VLOOKUP(PAYMENTS[[#This Row],[Resident ID]],RESIDENT_CLEAN[[#Headers],[#Data]],3,FALSE)</f>
        <v>HSR Layout</v>
      </c>
      <c r="J19" s="57">
        <f>PAYMENTS[[#This Row],[Amount Due (₹)]]-PAYMENTS[[#This Row],[Amount Paid (₹)]]</f>
        <v>11000</v>
      </c>
      <c r="K19" s="59" t="str">
        <f>VLOOKUP(PAYMENTS[[#This Row],[Resident ID]],RESIDENT_CLEAN[#All],7,TRUE)</f>
        <v>Active</v>
      </c>
    </row>
    <row r="20" spans="1:11">
      <c r="A20" s="45" t="s">
        <v>97</v>
      </c>
      <c r="B20" s="46" t="s">
        <v>12</v>
      </c>
      <c r="C20" s="157">
        <v>45689</v>
      </c>
      <c r="D20" s="47">
        <v>12000</v>
      </c>
      <c r="E20" s="47">
        <v>12000</v>
      </c>
      <c r="F20" s="48">
        <v>45694</v>
      </c>
      <c r="G20" s="46" t="s">
        <v>75</v>
      </c>
      <c r="H20" s="46" t="s">
        <v>76</v>
      </c>
      <c r="I20" s="46" t="str">
        <f>VLOOKUP(PAYMENTS[[#This Row],[Resident ID]],RESIDENT_CLEAN[[#Headers],[#Data]],3,FALSE)</f>
        <v>Koramangala</v>
      </c>
      <c r="J20" s="47">
        <f>PAYMENTS[[#This Row],[Amount Due (₹)]]-PAYMENTS[[#This Row],[Amount Paid (₹)]]</f>
        <v>0</v>
      </c>
      <c r="K20" s="49" t="str">
        <f>VLOOKUP(PAYMENTS[[#This Row],[Resident ID]],RESIDENT_CLEAN[#All],7,TRUE)</f>
        <v>Moved-out</v>
      </c>
    </row>
    <row r="21" spans="1:11">
      <c r="A21" s="64" t="s">
        <v>98</v>
      </c>
      <c r="B21" s="65" t="s">
        <v>15</v>
      </c>
      <c r="C21" s="161">
        <v>45717</v>
      </c>
      <c r="D21" s="66">
        <v>11000</v>
      </c>
      <c r="E21" s="66">
        <v>11000</v>
      </c>
      <c r="F21" s="67">
        <v>45721</v>
      </c>
      <c r="G21" s="65" t="s">
        <v>78</v>
      </c>
      <c r="H21" s="68" t="s">
        <v>76</v>
      </c>
      <c r="I21" s="65" t="str">
        <f>VLOOKUP(PAYMENTS[[#This Row],[Resident ID]],RESIDENT_CLEAN[[#Headers],[#Data]],3,FALSE)</f>
        <v>HSR Layout</v>
      </c>
      <c r="J21" s="66">
        <f>PAYMENTS[[#This Row],[Amount Due (₹)]]-PAYMENTS[[#This Row],[Amount Paid (₹)]]</f>
        <v>0</v>
      </c>
      <c r="K21" s="69" t="str">
        <f>VLOOKUP(PAYMENTS[[#This Row],[Resident ID]],RESIDENT_CLEAN[#All],7,TRUE)</f>
        <v>Moved-out</v>
      </c>
    </row>
    <row r="22" spans="1:11">
      <c r="A22" s="70" t="s">
        <v>163</v>
      </c>
      <c r="B22" s="71"/>
      <c r="C22" s="71"/>
      <c r="D22" s="72">
        <f>SUBTOTAL(109,PAYMENTS[Amount Due (₹)])</f>
        <v>210000</v>
      </c>
      <c r="E22" s="72">
        <f>SUBTOTAL(109,PAYMENTS[Amount Paid (₹)])</f>
        <v>155500</v>
      </c>
      <c r="F22" s="71"/>
      <c r="G22" s="71"/>
      <c r="H22" s="71"/>
      <c r="I22" s="71"/>
      <c r="J22" s="73">
        <f>SUBTOTAL(109,PAYMENTS[Shortfall  ₹])</f>
        <v>54500</v>
      </c>
      <c r="K22" s="74"/>
    </row>
    <row r="24" spans="1:11">
      <c r="H24">
        <f>SUMIFS(PAYMENTS[Amount Paid (₹)],PAYMENTS[Status],"Cleared",PAYMENTS[Status],"Partial")</f>
        <v>0</v>
      </c>
    </row>
  </sheetData>
  <phoneticPr fontId="6" type="noConversion"/>
  <conditionalFormatting sqref="A1:J1 A2:G2 I2:J2">
    <cfRule type="containsText" dxfId="15" priority="1" operator="containsText" text="Unpaid">
      <formula>NOT(ISERROR(SEARCH("Unpaid",A1)))</formula>
    </cfRule>
    <cfRule type="containsText" dxfId="14" priority="2" operator="containsText" text="Partial">
      <formula>NOT(ISERROR(SEARCH("Partial",A1)))</formula>
    </cfRule>
    <cfRule type="containsText" dxfId="13" priority="3" operator="containsText" text="Cleared">
      <formula>NOT(ISERROR(SEARCH("Cleared",A1)))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0B72A-04AE-4265-AB8F-B4F5DB70A2FC}">
  <dimension ref="A1:K19"/>
  <sheetViews>
    <sheetView workbookViewId="0">
      <selection activeCell="B14" sqref="B14:C14"/>
    </sheetView>
  </sheetViews>
  <sheetFormatPr defaultRowHeight="14.4"/>
  <cols>
    <col min="1" max="1" width="12.6640625" bestFit="1" customWidth="1"/>
    <col min="2" max="2" width="12.77734375" bestFit="1" customWidth="1"/>
    <col min="3" max="3" width="14.33203125" bestFit="1" customWidth="1"/>
    <col min="4" max="4" width="23.109375" bestFit="1" customWidth="1"/>
    <col min="5" max="5" width="11.5546875" bestFit="1" customWidth="1"/>
    <col min="6" max="6" width="13.77734375" bestFit="1" customWidth="1"/>
    <col min="7" max="7" width="15.88671875" bestFit="1" customWidth="1"/>
    <col min="8" max="8" width="10.6640625" bestFit="1" customWidth="1"/>
    <col min="9" max="9" width="13.44140625" bestFit="1" customWidth="1"/>
    <col min="10" max="10" width="20.5546875" bestFit="1" customWidth="1"/>
    <col min="11" max="11" width="16.44140625" bestFit="1" customWidth="1"/>
    <col min="12" max="12" width="14.109375" customWidth="1"/>
  </cols>
  <sheetData>
    <row r="1" spans="1:11" ht="30" customHeight="1">
      <c r="A1" s="16" t="s">
        <v>99</v>
      </c>
      <c r="B1" s="17" t="s">
        <v>58</v>
      </c>
      <c r="C1" s="17" t="s">
        <v>100</v>
      </c>
      <c r="D1" s="17" t="s">
        <v>101</v>
      </c>
      <c r="E1" s="17" t="s">
        <v>102</v>
      </c>
      <c r="F1" s="17" t="s">
        <v>103</v>
      </c>
      <c r="G1" s="17" t="s">
        <v>104</v>
      </c>
      <c r="H1" s="17" t="s">
        <v>62</v>
      </c>
      <c r="I1" s="17" t="s">
        <v>105</v>
      </c>
      <c r="J1" s="17" t="s">
        <v>166</v>
      </c>
      <c r="K1" s="18" t="s">
        <v>165</v>
      </c>
    </row>
    <row r="2" spans="1:11" ht="18.600000000000001" hidden="1" customHeight="1">
      <c r="A2" s="38" t="s">
        <v>106</v>
      </c>
      <c r="B2" s="30" t="s">
        <v>2</v>
      </c>
      <c r="C2" s="30" t="s">
        <v>3</v>
      </c>
      <c r="D2" s="30" t="s">
        <v>107</v>
      </c>
      <c r="E2" s="30" t="s">
        <v>108</v>
      </c>
      <c r="F2" s="39">
        <v>45718</v>
      </c>
      <c r="G2" s="39">
        <v>45726</v>
      </c>
      <c r="H2" s="30" t="s">
        <v>109</v>
      </c>
      <c r="I2" s="30" t="s">
        <v>1</v>
      </c>
      <c r="J2" s="75">
        <f t="shared" ref="J2:J16" si="0">IF(H2="Resolved",IF(G2="",0,G2-F2),DATE(2025,6,20)-F2)</f>
        <v>8</v>
      </c>
      <c r="K2" s="76" t="str">
        <f>IF(H2="Resolved","Resolved",IF(J2&gt;30,"Critical",IF(J2&gt;14,"Overdue",IF(J2&gt;7,"Needs Follow Up","On Track"))))</f>
        <v>Resolved</v>
      </c>
    </row>
    <row r="3" spans="1:11" ht="18.600000000000001" customHeight="1">
      <c r="A3" s="12" t="s">
        <v>110</v>
      </c>
      <c r="B3" s="13" t="s">
        <v>8</v>
      </c>
      <c r="C3" s="13" t="s">
        <v>111</v>
      </c>
      <c r="D3" s="13" t="s">
        <v>112</v>
      </c>
      <c r="E3" s="13" t="s">
        <v>113</v>
      </c>
      <c r="F3" s="14">
        <v>45731</v>
      </c>
      <c r="G3" s="14"/>
      <c r="H3" s="13" t="s">
        <v>114</v>
      </c>
      <c r="I3" s="13" t="s">
        <v>115</v>
      </c>
      <c r="J3" s="26">
        <f t="shared" si="0"/>
        <v>97</v>
      </c>
      <c r="K3" s="77" t="str">
        <f t="shared" ref="K3:K15" si="1">IF(H3="Resolved","Resolved",IF(J3&gt;30,"Critical",IF(J3&gt;14,"Overdue",IF(J3&gt;7,"Needs Follow Up","On Track"))))</f>
        <v>Critical</v>
      </c>
    </row>
    <row r="4" spans="1:11" ht="18.600000000000001" customHeight="1">
      <c r="A4" s="5" t="s">
        <v>116</v>
      </c>
      <c r="B4" s="4" t="s">
        <v>17</v>
      </c>
      <c r="C4" s="4" t="s">
        <v>18</v>
      </c>
      <c r="D4" s="4" t="s">
        <v>117</v>
      </c>
      <c r="E4" s="4" t="s">
        <v>118</v>
      </c>
      <c r="F4" s="15">
        <v>45736</v>
      </c>
      <c r="G4" s="15"/>
      <c r="H4" s="4" t="s">
        <v>114</v>
      </c>
      <c r="I4" s="4" t="s">
        <v>16</v>
      </c>
      <c r="J4" s="20">
        <f t="shared" si="0"/>
        <v>92</v>
      </c>
      <c r="K4" s="78" t="str">
        <f t="shared" si="1"/>
        <v>Critical</v>
      </c>
    </row>
    <row r="5" spans="1:11" ht="18.600000000000001" hidden="1" customHeight="1">
      <c r="A5" s="38" t="s">
        <v>119</v>
      </c>
      <c r="B5" s="30" t="s">
        <v>26</v>
      </c>
      <c r="C5" s="30" t="s">
        <v>27</v>
      </c>
      <c r="D5" s="30" t="s">
        <v>120</v>
      </c>
      <c r="E5" s="30" t="s">
        <v>108</v>
      </c>
      <c r="F5" s="30">
        <v>45748</v>
      </c>
      <c r="G5" s="39">
        <v>45750</v>
      </c>
      <c r="H5" s="30" t="s">
        <v>109</v>
      </c>
      <c r="I5" s="30" t="s">
        <v>25</v>
      </c>
      <c r="J5" s="75">
        <f t="shared" si="0"/>
        <v>2</v>
      </c>
      <c r="K5" s="76" t="str">
        <f t="shared" si="1"/>
        <v>Resolved</v>
      </c>
    </row>
    <row r="6" spans="1:11" ht="18.600000000000001" customHeight="1">
      <c r="A6" s="5" t="s">
        <v>121</v>
      </c>
      <c r="B6" s="4" t="s">
        <v>2</v>
      </c>
      <c r="C6" s="4" t="s">
        <v>33</v>
      </c>
      <c r="D6" s="4" t="s">
        <v>122</v>
      </c>
      <c r="E6" s="4" t="s">
        <v>108</v>
      </c>
      <c r="F6" s="15">
        <v>45752</v>
      </c>
      <c r="G6" s="15"/>
      <c r="H6" s="4" t="s">
        <v>114</v>
      </c>
      <c r="I6" s="4" t="s">
        <v>32</v>
      </c>
      <c r="J6" s="20">
        <f t="shared" si="0"/>
        <v>76</v>
      </c>
      <c r="K6" s="78" t="str">
        <f t="shared" si="1"/>
        <v>Critical</v>
      </c>
    </row>
    <row r="7" spans="1:11" ht="18.600000000000001" customHeight="1">
      <c r="A7" s="22" t="s">
        <v>123</v>
      </c>
      <c r="B7" s="23" t="s">
        <v>8</v>
      </c>
      <c r="C7" s="23" t="s">
        <v>22</v>
      </c>
      <c r="D7" s="23" t="s">
        <v>124</v>
      </c>
      <c r="E7" s="23" t="s">
        <v>125</v>
      </c>
      <c r="F7" s="24">
        <v>45757</v>
      </c>
      <c r="G7" s="24"/>
      <c r="H7" s="23" t="s">
        <v>114</v>
      </c>
      <c r="I7" s="23" t="s">
        <v>126</v>
      </c>
      <c r="J7" s="25">
        <f t="shared" si="0"/>
        <v>71</v>
      </c>
      <c r="K7" s="79" t="str">
        <f t="shared" si="1"/>
        <v>Critical</v>
      </c>
    </row>
    <row r="8" spans="1:11" ht="18.600000000000001" hidden="1" customHeight="1">
      <c r="A8" s="38" t="s">
        <v>127</v>
      </c>
      <c r="B8" s="30" t="s">
        <v>17</v>
      </c>
      <c r="C8" s="30" t="s">
        <v>111</v>
      </c>
      <c r="D8" s="30" t="s">
        <v>128</v>
      </c>
      <c r="E8" s="30" t="s">
        <v>108</v>
      </c>
      <c r="F8" s="30">
        <v>45762</v>
      </c>
      <c r="G8" s="39">
        <v>45765</v>
      </c>
      <c r="H8" s="30" t="s">
        <v>109</v>
      </c>
      <c r="I8" s="30" t="s">
        <v>29</v>
      </c>
      <c r="J8" s="75">
        <f t="shared" si="0"/>
        <v>3</v>
      </c>
      <c r="K8" s="76" t="str">
        <f t="shared" si="1"/>
        <v>Resolved</v>
      </c>
    </row>
    <row r="9" spans="1:11" ht="18.600000000000001" customHeight="1">
      <c r="A9" s="22" t="s">
        <v>129</v>
      </c>
      <c r="B9" s="23" t="s">
        <v>26</v>
      </c>
      <c r="C9" s="23" t="s">
        <v>50</v>
      </c>
      <c r="D9" s="23" t="s">
        <v>130</v>
      </c>
      <c r="E9" s="23" t="s">
        <v>125</v>
      </c>
      <c r="F9" s="24">
        <v>45778</v>
      </c>
      <c r="G9" s="24"/>
      <c r="H9" s="23" t="s">
        <v>114</v>
      </c>
      <c r="I9" s="23" t="s">
        <v>131</v>
      </c>
      <c r="J9" s="25">
        <f t="shared" si="0"/>
        <v>50</v>
      </c>
      <c r="K9" s="79" t="str">
        <f t="shared" si="1"/>
        <v>Critical</v>
      </c>
    </row>
    <row r="10" spans="1:11" ht="18.600000000000001" customHeight="1">
      <c r="A10" s="5" t="s">
        <v>132</v>
      </c>
      <c r="B10" s="4" t="s">
        <v>2</v>
      </c>
      <c r="C10" s="4" t="s">
        <v>47</v>
      </c>
      <c r="D10" s="4" t="s">
        <v>133</v>
      </c>
      <c r="E10" s="4" t="s">
        <v>108</v>
      </c>
      <c r="F10" s="15">
        <v>45787</v>
      </c>
      <c r="G10" s="15"/>
      <c r="H10" s="4" t="s">
        <v>114</v>
      </c>
      <c r="I10" s="4" t="s">
        <v>46</v>
      </c>
      <c r="J10" s="20">
        <f t="shared" si="0"/>
        <v>41</v>
      </c>
      <c r="K10" s="78" t="str">
        <f t="shared" si="1"/>
        <v>Critical</v>
      </c>
    </row>
    <row r="11" spans="1:11" ht="18.600000000000001" hidden="1" customHeight="1">
      <c r="A11" s="38" t="s">
        <v>134</v>
      </c>
      <c r="B11" s="30" t="s">
        <v>8</v>
      </c>
      <c r="C11" s="30" t="s">
        <v>40</v>
      </c>
      <c r="D11" s="30" t="s">
        <v>135</v>
      </c>
      <c r="E11" s="30" t="s">
        <v>113</v>
      </c>
      <c r="F11" s="30">
        <v>45789</v>
      </c>
      <c r="G11" s="39">
        <v>45797</v>
      </c>
      <c r="H11" s="30" t="s">
        <v>109</v>
      </c>
      <c r="I11" s="30" t="s">
        <v>39</v>
      </c>
      <c r="J11" s="75">
        <f t="shared" si="0"/>
        <v>8</v>
      </c>
      <c r="K11" s="76" t="str">
        <f t="shared" si="1"/>
        <v>Resolved</v>
      </c>
    </row>
    <row r="12" spans="1:11" ht="18.600000000000001" customHeight="1">
      <c r="A12" s="5" t="s">
        <v>136</v>
      </c>
      <c r="B12" s="4" t="s">
        <v>17</v>
      </c>
      <c r="C12" s="4" t="s">
        <v>43</v>
      </c>
      <c r="D12" s="4" t="s">
        <v>137</v>
      </c>
      <c r="E12" s="4" t="s">
        <v>108</v>
      </c>
      <c r="F12" s="15">
        <v>45797</v>
      </c>
      <c r="G12" s="15"/>
      <c r="H12" s="4" t="s">
        <v>114</v>
      </c>
      <c r="I12" s="4" t="s">
        <v>42</v>
      </c>
      <c r="J12" s="20">
        <f t="shared" si="0"/>
        <v>31</v>
      </c>
      <c r="K12" s="78" t="str">
        <f t="shared" si="1"/>
        <v>Critical</v>
      </c>
    </row>
    <row r="13" spans="1:11" ht="18.600000000000001" customHeight="1">
      <c r="A13" s="12" t="s">
        <v>138</v>
      </c>
      <c r="B13" s="13" t="s">
        <v>26</v>
      </c>
      <c r="C13" s="13" t="s">
        <v>111</v>
      </c>
      <c r="D13" s="13" t="s">
        <v>139</v>
      </c>
      <c r="E13" s="13" t="s">
        <v>113</v>
      </c>
      <c r="F13" s="14">
        <v>45802</v>
      </c>
      <c r="G13" s="14"/>
      <c r="H13" s="13" t="s">
        <v>114</v>
      </c>
      <c r="I13" s="13" t="s">
        <v>36</v>
      </c>
      <c r="J13" s="26">
        <f t="shared" si="0"/>
        <v>26</v>
      </c>
      <c r="K13" s="77" t="str">
        <f t="shared" si="1"/>
        <v>Overdue</v>
      </c>
    </row>
    <row r="14" spans="1:11" ht="18.600000000000001" customHeight="1">
      <c r="A14" s="12" t="s">
        <v>140</v>
      </c>
      <c r="B14" s="13" t="s">
        <v>2</v>
      </c>
      <c r="C14" s="13" t="s">
        <v>3</v>
      </c>
      <c r="D14" s="13" t="s">
        <v>141</v>
      </c>
      <c r="E14" s="13" t="s">
        <v>113</v>
      </c>
      <c r="F14" s="14">
        <v>45809</v>
      </c>
      <c r="G14" s="14"/>
      <c r="H14" s="13" t="s">
        <v>114</v>
      </c>
      <c r="I14" s="13" t="s">
        <v>142</v>
      </c>
      <c r="J14" s="26">
        <f t="shared" si="0"/>
        <v>19</v>
      </c>
      <c r="K14" s="77" t="str">
        <f t="shared" si="1"/>
        <v>Overdue</v>
      </c>
    </row>
    <row r="15" spans="1:11" ht="18.600000000000001" hidden="1" customHeight="1">
      <c r="A15" s="38" t="s">
        <v>143</v>
      </c>
      <c r="B15" s="30" t="s">
        <v>8</v>
      </c>
      <c r="C15" s="30" t="s">
        <v>9</v>
      </c>
      <c r="D15" s="30" t="s">
        <v>144</v>
      </c>
      <c r="E15" s="30" t="s">
        <v>118</v>
      </c>
      <c r="F15" s="30">
        <v>45813</v>
      </c>
      <c r="G15" s="39">
        <v>45815</v>
      </c>
      <c r="H15" s="30" t="s">
        <v>109</v>
      </c>
      <c r="I15" s="30" t="s">
        <v>52</v>
      </c>
      <c r="J15" s="75">
        <f t="shared" si="0"/>
        <v>2</v>
      </c>
      <c r="K15" s="76" t="str">
        <f t="shared" si="1"/>
        <v>Resolved</v>
      </c>
    </row>
    <row r="16" spans="1:11" ht="15.6">
      <c r="A16" s="9" t="s">
        <v>145</v>
      </c>
      <c r="B16" s="10" t="s">
        <v>17</v>
      </c>
      <c r="C16" s="10" t="s">
        <v>30</v>
      </c>
      <c r="D16" s="10" t="s">
        <v>146</v>
      </c>
      <c r="E16" s="10" t="s">
        <v>118</v>
      </c>
      <c r="F16" s="19">
        <v>45818</v>
      </c>
      <c r="G16" s="19"/>
      <c r="H16" s="10" t="s">
        <v>114</v>
      </c>
      <c r="I16" s="10" t="s">
        <v>32</v>
      </c>
      <c r="J16" s="21">
        <f t="shared" si="0"/>
        <v>10</v>
      </c>
      <c r="K16" s="80" t="str">
        <f>IF(H16="Resolved","Resolved",IF(J16&gt;30,"Critical",IF(J16&gt;14,"Overdue",IF(J16&gt;7,"Needs Follow Up","On Track"))))</f>
        <v>Needs Follow Up</v>
      </c>
    </row>
    <row r="19" spans="5:7" ht="46.8">
      <c r="E19" s="81" t="s">
        <v>109</v>
      </c>
      <c r="F19" s="26" t="s">
        <v>113</v>
      </c>
      <c r="G19" s="27" t="s">
        <v>180</v>
      </c>
    </row>
  </sheetData>
  <conditionalFormatting sqref="E2:E4 E6:E7 E9:E10 E12:E14 E16">
    <cfRule type="containsText" dxfId="12" priority="7" operator="containsText" text="Medium">
      <formula>NOT(ISERROR(SEARCH("Medium",E2)))</formula>
    </cfRule>
    <cfRule type="containsText" dxfId="11" priority="8" operator="containsText" text="Critical">
      <formula>NOT(ISERROR(SEARCH("Critical",E2)))</formula>
    </cfRule>
  </conditionalFormatting>
  <conditionalFormatting sqref="E19">
    <cfRule type="containsText" dxfId="10" priority="3" operator="containsText" text="Needs Follow Up">
      <formula>NOT(ISERROR(SEARCH("Needs Follow Up",E19)))</formula>
    </cfRule>
    <cfRule type="containsText" dxfId="9" priority="4" operator="containsText" text="Overdue">
      <formula>NOT(ISERROR(SEARCH("Overdue",E19)))</formula>
    </cfRule>
    <cfRule type="containsText" dxfId="8" priority="5" operator="containsText" text="critical">
      <formula>NOT(ISERROR(SEARCH("critical",E19)))</formula>
    </cfRule>
  </conditionalFormatting>
  <conditionalFormatting sqref="F19:G19">
    <cfRule type="containsText" dxfId="7" priority="1" operator="containsText" text="Resolved">
      <formula>NOT(ISERROR(SEARCH("Resolved",F19)))</formula>
    </cfRule>
  </conditionalFormatting>
  <conditionalFormatting sqref="J2:J4 J6:J7 J9:J10 J12:J14 J16">
    <cfRule type="containsText" dxfId="6" priority="6" operator="containsText" text="Resolved">
      <formula>NOT(ISERROR(SEARCH("Resolved",J2)))</formula>
    </cfRule>
  </conditionalFormatting>
  <conditionalFormatting sqref="K2:K4 K6:K7 K9:K10 K12:K14 K16">
    <cfRule type="containsText" dxfId="5" priority="9" operator="containsText" text="Needs Follow Up">
      <formula>NOT(ISERROR(SEARCH("Needs Follow Up",K2)))</formula>
    </cfRule>
    <cfRule type="containsText" dxfId="4" priority="10" operator="containsText" text="Overdue">
      <formula>NOT(ISERROR(SEARCH("Overdue",K2)))</formula>
    </cfRule>
    <cfRule type="containsText" dxfId="3" priority="11" operator="containsText" text="critical">
      <formula>NOT(ISERROR(SEARCH("critical",K2)))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088F3-142B-4A8A-84E8-182529C1C450}">
  <dimension ref="A1:F19"/>
  <sheetViews>
    <sheetView zoomScale="58" workbookViewId="0">
      <selection activeCell="B21" sqref="B21"/>
    </sheetView>
  </sheetViews>
  <sheetFormatPr defaultRowHeight="14.4"/>
  <cols>
    <col min="1" max="2" width="11" customWidth="1"/>
    <col min="3" max="3" width="18.44140625" customWidth="1"/>
    <col min="4" max="4" width="59.5546875" customWidth="1"/>
    <col min="5" max="5" width="36.109375" customWidth="1"/>
    <col min="6" max="6" width="55.5546875" bestFit="1" customWidth="1"/>
    <col min="7" max="10" width="11" customWidth="1"/>
  </cols>
  <sheetData>
    <row r="1" spans="1:6" ht="24" customHeight="1">
      <c r="A1" s="169" t="s">
        <v>203</v>
      </c>
      <c r="B1" s="164"/>
      <c r="C1" s="164"/>
      <c r="D1" s="164"/>
      <c r="E1" s="164"/>
      <c r="F1" s="164"/>
    </row>
    <row r="2" spans="1:6" ht="20.399999999999999" customHeight="1">
      <c r="A2" s="6" t="s">
        <v>56</v>
      </c>
      <c r="B2" s="7" t="s">
        <v>149</v>
      </c>
      <c r="C2" s="7" t="s">
        <v>150</v>
      </c>
      <c r="D2" s="7" t="s">
        <v>151</v>
      </c>
      <c r="E2" s="7" t="s">
        <v>152</v>
      </c>
      <c r="F2" s="8" t="s">
        <v>153</v>
      </c>
    </row>
    <row r="3" spans="1:6" ht="31.2" customHeight="1">
      <c r="A3" s="5" t="s">
        <v>6</v>
      </c>
      <c r="B3" s="4" t="s">
        <v>183</v>
      </c>
      <c r="C3" s="4" t="s">
        <v>181</v>
      </c>
      <c r="D3" s="34" t="s">
        <v>306</v>
      </c>
      <c r="E3" s="34" t="s">
        <v>115</v>
      </c>
      <c r="F3" s="35" t="s">
        <v>182</v>
      </c>
    </row>
    <row r="4" spans="1:6" ht="57.6">
      <c r="A4" s="5" t="s">
        <v>204</v>
      </c>
      <c r="B4" s="4" t="s">
        <v>183</v>
      </c>
      <c r="C4" s="4" t="s">
        <v>154</v>
      </c>
      <c r="D4" s="34" t="s">
        <v>307</v>
      </c>
      <c r="E4" s="34" t="s">
        <v>296</v>
      </c>
      <c r="F4" s="35" t="s">
        <v>297</v>
      </c>
    </row>
    <row r="5" spans="1:6" ht="31.2" customHeight="1">
      <c r="A5" s="5" t="s">
        <v>15</v>
      </c>
      <c r="B5" s="4" t="s">
        <v>183</v>
      </c>
      <c r="C5" s="4" t="s">
        <v>62</v>
      </c>
      <c r="D5" s="34" t="s">
        <v>308</v>
      </c>
      <c r="E5" s="34" t="s">
        <v>4</v>
      </c>
      <c r="F5" s="35" t="s">
        <v>205</v>
      </c>
    </row>
    <row r="6" spans="1:6" ht="31.2" customHeight="1">
      <c r="A6" s="5" t="s">
        <v>20</v>
      </c>
      <c r="B6" s="4" t="s">
        <v>183</v>
      </c>
      <c r="C6" s="4" t="s">
        <v>155</v>
      </c>
      <c r="D6" s="34" t="s">
        <v>309</v>
      </c>
      <c r="E6" s="36" t="s">
        <v>184</v>
      </c>
      <c r="F6" s="35" t="s">
        <v>206</v>
      </c>
    </row>
    <row r="7" spans="1:6" ht="31.2" customHeight="1">
      <c r="A7" s="5" t="s">
        <v>31</v>
      </c>
      <c r="B7" s="4" t="s">
        <v>183</v>
      </c>
      <c r="C7" s="4" t="s">
        <v>156</v>
      </c>
      <c r="D7" s="34" t="s">
        <v>310</v>
      </c>
      <c r="E7" s="34" t="s">
        <v>207</v>
      </c>
      <c r="F7" s="35" t="s">
        <v>208</v>
      </c>
    </row>
    <row r="8" spans="1:6" ht="45.6" customHeight="1">
      <c r="A8" s="5" t="s">
        <v>209</v>
      </c>
      <c r="B8" s="4" t="s">
        <v>183</v>
      </c>
      <c r="C8" s="4" t="s">
        <v>157</v>
      </c>
      <c r="D8" s="34" t="s">
        <v>293</v>
      </c>
      <c r="E8" s="34" t="s">
        <v>210</v>
      </c>
      <c r="F8" s="35" t="s">
        <v>185</v>
      </c>
    </row>
    <row r="9" spans="1:6" ht="31.2" customHeight="1">
      <c r="A9" s="5" t="s">
        <v>41</v>
      </c>
      <c r="B9" s="4" t="s">
        <v>183</v>
      </c>
      <c r="C9" s="4" t="s">
        <v>158</v>
      </c>
      <c r="D9" s="34" t="s">
        <v>186</v>
      </c>
      <c r="E9" s="34" t="s">
        <v>211</v>
      </c>
      <c r="F9" s="35" t="s">
        <v>187</v>
      </c>
    </row>
    <row r="10" spans="1:6" ht="31.2" customHeight="1">
      <c r="A10" s="5" t="s">
        <v>212</v>
      </c>
      <c r="B10" s="4" t="s">
        <v>183</v>
      </c>
      <c r="C10" s="4" t="s">
        <v>157</v>
      </c>
      <c r="D10" s="34" t="s">
        <v>213</v>
      </c>
      <c r="E10" s="34" t="s">
        <v>188</v>
      </c>
      <c r="F10" s="35" t="s">
        <v>214</v>
      </c>
    </row>
    <row r="11" spans="1:6" ht="31.2" customHeight="1">
      <c r="A11" s="9"/>
      <c r="B11" s="10"/>
      <c r="C11" s="10"/>
      <c r="D11" s="10"/>
      <c r="E11" s="10"/>
      <c r="F11" s="11"/>
    </row>
    <row r="13" spans="1:6">
      <c r="A13" s="167" t="s">
        <v>189</v>
      </c>
      <c r="B13" s="168"/>
      <c r="C13" s="168"/>
      <c r="D13" s="168"/>
      <c r="E13" s="168"/>
      <c r="F13" s="168"/>
    </row>
    <row r="15" spans="1:6">
      <c r="A15" s="31" t="s">
        <v>56</v>
      </c>
      <c r="B15" s="31" t="s">
        <v>149</v>
      </c>
      <c r="C15" s="31" t="s">
        <v>150</v>
      </c>
      <c r="D15" s="31" t="s">
        <v>151</v>
      </c>
      <c r="E15" s="31" t="s">
        <v>152</v>
      </c>
      <c r="F15" s="31" t="s">
        <v>153</v>
      </c>
    </row>
    <row r="16" spans="1:6" ht="56.4" customHeight="1">
      <c r="A16" s="32" t="s">
        <v>190</v>
      </c>
      <c r="B16" s="33" t="s">
        <v>216</v>
      </c>
      <c r="C16" s="32" t="s">
        <v>191</v>
      </c>
      <c r="D16" s="33" t="s">
        <v>311</v>
      </c>
      <c r="E16" s="33" t="s">
        <v>192</v>
      </c>
      <c r="F16" s="33" t="s">
        <v>193</v>
      </c>
    </row>
    <row r="17" spans="1:6" ht="28.8">
      <c r="A17" s="32" t="s">
        <v>194</v>
      </c>
      <c r="B17" s="33" t="s">
        <v>217</v>
      </c>
      <c r="C17" s="32"/>
      <c r="D17" s="33" t="s">
        <v>312</v>
      </c>
      <c r="E17" s="33" t="s">
        <v>195</v>
      </c>
      <c r="F17" s="33" t="s">
        <v>196</v>
      </c>
    </row>
    <row r="18" spans="1:6" ht="75.599999999999994" customHeight="1">
      <c r="A18" s="32" t="s">
        <v>215</v>
      </c>
      <c r="B18" s="33" t="s">
        <v>218</v>
      </c>
      <c r="C18" s="32" t="s">
        <v>219</v>
      </c>
      <c r="D18" s="33" t="s">
        <v>220</v>
      </c>
      <c r="E18" s="33" t="s">
        <v>221</v>
      </c>
      <c r="F18" s="33" t="s">
        <v>222</v>
      </c>
    </row>
    <row r="19" spans="1:6">
      <c r="D19" s="2"/>
    </row>
  </sheetData>
  <mergeCells count="2">
    <mergeCell ref="A13:F13"/>
    <mergeCell ref="A1:F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B078C-9D3C-41A5-830B-18533CDC3D22}">
  <dimension ref="A1:I26"/>
  <sheetViews>
    <sheetView zoomScale="103" workbookViewId="0">
      <selection activeCell="D7" sqref="D7"/>
    </sheetView>
  </sheetViews>
  <sheetFormatPr defaultRowHeight="14.4"/>
  <cols>
    <col min="1" max="1" width="17.21875" customWidth="1"/>
    <col min="2" max="2" width="14.109375" bestFit="1" customWidth="1"/>
    <col min="3" max="4" width="17.44140625" customWidth="1"/>
    <col min="5" max="5" width="29.109375" customWidth="1"/>
    <col min="6" max="6" width="20.5546875" customWidth="1"/>
    <col min="7" max="7" width="18.77734375" customWidth="1"/>
    <col min="8" max="8" width="15.88671875" customWidth="1"/>
  </cols>
  <sheetData>
    <row r="1" spans="1:9" ht="22.8" customHeight="1">
      <c r="A1" s="170" t="s">
        <v>298</v>
      </c>
      <c r="B1" s="171"/>
      <c r="C1" s="171"/>
      <c r="D1" s="171"/>
      <c r="E1" s="171"/>
      <c r="F1" s="171"/>
      <c r="G1" s="171"/>
      <c r="H1" s="171"/>
    </row>
    <row r="2" spans="1:9" ht="21" customHeight="1">
      <c r="A2" s="88" t="s">
        <v>58</v>
      </c>
      <c r="B2" s="87" t="s">
        <v>159</v>
      </c>
      <c r="C2" s="87" t="s">
        <v>160</v>
      </c>
      <c r="D2" s="87" t="s">
        <v>169</v>
      </c>
      <c r="E2" s="87" t="s">
        <v>198</v>
      </c>
      <c r="F2" s="87" t="s">
        <v>161</v>
      </c>
      <c r="G2" s="87" t="s">
        <v>162</v>
      </c>
      <c r="H2" s="87" t="s">
        <v>199</v>
      </c>
    </row>
    <row r="3" spans="1:9" ht="21" customHeight="1">
      <c r="A3" s="2" t="s">
        <v>2</v>
      </c>
      <c r="B3">
        <v>30</v>
      </c>
      <c r="C3">
        <f>COUNTIFS(RESIDENT_CLEAN[Property],REVENUE_SUMMARY!A3,RESIDENT_CLEAN[Status],"Active")</f>
        <v>1</v>
      </c>
      <c r="D3" s="37">
        <f>Table5[[#This Row],[ Active Residents ]]/Table5[[#This Row],[ Total Beds ]]</f>
        <v>3.3333333333333333E-2</v>
      </c>
      <c r="E3">
        <f>SUMIFS(RESIDENT_CLEAN[Monthly Rent],RESIDENT_CLEAN[Property],Table5[[#This Row],[Property]],RESIDENT_CLEAN[Status],"Active")</f>
        <v>12000</v>
      </c>
      <c r="F3" s="40">
        <f>SUMIFS(PAYMENTS[Amount Paid (₹)], PAYMENTS[Property], Table5[[#This Row],[Property]], PAYMENTS[Status], "Cleared") + SUMIFS(PAYMENTS[Amount Paid (₹)], PAYMENTS[Property], Table5[[#This Row],[Property]], PAYMENTS[Status], "Partial")</f>
        <v>54000</v>
      </c>
      <c r="G3" s="40">
        <f>SUMIFS(PAYMENTS[Shortfall  ₹],PAYMENTS[Property],Table5[[#This Row],[Property]])</f>
        <v>6000</v>
      </c>
      <c r="H3">
        <f>SUMIF(RESIDENT_CLEAN[Property],Table5[[#This Row],[Property]],RESIDENT_CLEAN[Deposit Gap])</f>
        <v>24000</v>
      </c>
    </row>
    <row r="4" spans="1:9" ht="21" customHeight="1">
      <c r="A4" s="2" t="s">
        <v>8</v>
      </c>
      <c r="B4">
        <v>30</v>
      </c>
      <c r="C4">
        <f>COUNTIFS(RESIDENT_CLEAN[Property],REVENUE_SUMMARY!A4,RESIDENT_CLEAN[Status],"Active")</f>
        <v>4</v>
      </c>
      <c r="D4" s="37">
        <f>Table5[[#This Row],[ Active Residents ]]/Table5[[#This Row],[ Total Beds ]]</f>
        <v>0.13333333333333333</v>
      </c>
      <c r="E4">
        <f>SUMIFS(RESIDENT_CLEAN[Monthly Rent],RESIDENT_CLEAN[Property],Table5[[#This Row],[Property]],RESIDENT_CLEAN[Status],"Active")</f>
        <v>36500</v>
      </c>
      <c r="F4" s="40">
        <f>SUMIFS(PAYMENTS[Amount Paid (₹)], PAYMENTS[Property], Table5[[#This Row],[Property]], PAYMENTS[Status], "Cleared") + SUMIFS(PAYMENTS[Amount Paid (₹)], PAYMENTS[Property], Table5[[#This Row],[Property]], PAYMENTS[Status], "Partial")</f>
        <v>53000</v>
      </c>
      <c r="G4" s="40">
        <f>SUMIFS(PAYMENTS[Shortfall  ₹],PAYMENTS[Property],Table5[[#This Row],[Property]])</f>
        <v>0</v>
      </c>
      <c r="H4">
        <f>SUMIF(RESIDENT_CLEAN[Property],Table5[[#This Row],[Property]],RESIDENT_CLEAN[Deposit Gap])</f>
        <v>38000</v>
      </c>
    </row>
    <row r="5" spans="1:9" ht="21" customHeight="1">
      <c r="A5" s="2" t="s">
        <v>17</v>
      </c>
      <c r="B5">
        <v>30</v>
      </c>
      <c r="C5">
        <f>COUNTIFS(RESIDENT_CLEAN[Property],REVENUE_SUMMARY!A5,RESIDENT_CLEAN[Status],"Active")</f>
        <v>3</v>
      </c>
      <c r="D5" s="37">
        <f>Table5[[#This Row],[ Active Residents ]]/Table5[[#This Row],[ Total Beds ]]</f>
        <v>0.1</v>
      </c>
      <c r="E5">
        <f>SUMIFS(RESIDENT_CLEAN[Monthly Rent],RESIDENT_CLEAN[Property],Table5[[#This Row],[Property]],RESIDENT_CLEAN[Status],"Active")</f>
        <v>33000</v>
      </c>
      <c r="F5" s="40">
        <f>SUMIFS(PAYMENTS[Amount Paid (₹)], PAYMENTS[Property], Table5[[#This Row],[Property]], PAYMENTS[Status], "Cleared") + SUMIFS(PAYMENTS[Amount Paid (₹)], PAYMENTS[Property], Table5[[#This Row],[Property]], PAYMENTS[Status], "Partial")</f>
        <v>33000</v>
      </c>
      <c r="G5" s="40">
        <f>SUMIFS(PAYMENTS[Shortfall  ₹],PAYMENTS[Property],Table5[[#This Row],[Property]])</f>
        <v>22000</v>
      </c>
      <c r="H5">
        <f>SUMIF(RESIDENT_CLEAN[Property],Table5[[#This Row],[Property]],RESIDENT_CLEAN[Deposit Gap])</f>
        <v>11000</v>
      </c>
    </row>
    <row r="6" spans="1:9" ht="21" customHeight="1">
      <c r="A6" s="2" t="s">
        <v>26</v>
      </c>
      <c r="B6">
        <v>30</v>
      </c>
      <c r="C6">
        <f>COUNTIFS(RESIDENT_CLEAN[Property],REVENUE_SUMMARY!A6,RESIDENT_CLEAN[Status],"Active")</f>
        <v>3</v>
      </c>
      <c r="D6" s="37">
        <f>Table5[[#This Row],[ Active Residents ]]/Table5[[#This Row],[ Total Beds ]]</f>
        <v>0.1</v>
      </c>
      <c r="E6">
        <f>SUMIFS(RESIDENT_CLEAN[Monthly Rent],RESIDENT_CLEAN[Property],Table5[[#This Row],[Property]],RESIDENT_CLEAN[Status],"Active")</f>
        <v>31500</v>
      </c>
      <c r="F6" s="40">
        <f>SUMIFS(PAYMENTS[Amount Paid (₹)], PAYMENTS[Property], Table5[[#This Row],[Property]], PAYMENTS[Status], "Cleared") + SUMIFS(PAYMENTS[Amount Paid (₹)], PAYMENTS[Property], Table5[[#This Row],[Property]], PAYMENTS[Status], "Partial")</f>
        <v>15500</v>
      </c>
      <c r="G6" s="40">
        <f>SUMIFS(PAYMENTS[Shortfall  ₹],PAYMENTS[Property],Table5[[#This Row],[Property]])</f>
        <v>26500</v>
      </c>
      <c r="H6">
        <f>SUMIF(RESIDENT_CLEAN[Property],Table5[[#This Row],[Property]],RESIDENT_CLEAN[Deposit Gap])</f>
        <v>21000</v>
      </c>
    </row>
    <row r="7" spans="1:9" ht="21" customHeight="1">
      <c r="A7" s="88" t="s">
        <v>163</v>
      </c>
      <c r="B7" s="82">
        <f>SUBTOTAL(109,Table5[[ Total Beds ]])</f>
        <v>120</v>
      </c>
      <c r="C7" s="82">
        <f>SUBTOTAL(109,Table5[[ Active Residents ]])</f>
        <v>11</v>
      </c>
      <c r="D7" s="184">
        <f>SUBTOTAL(101,Table5[Occupancy Rate])</f>
        <v>9.1666666666666674E-2</v>
      </c>
      <c r="E7" s="82">
        <f>SUBTOTAL(109,Table5[Total Monthly Rent Collectible])</f>
        <v>113000</v>
      </c>
      <c r="F7" s="89">
        <f>SUBTOTAL(109,Table5[[ Total Rent Collected ]])</f>
        <v>155500</v>
      </c>
      <c r="G7" s="89">
        <f>SUBTOTAL(109,Table5[[ Total Outstanding ]])</f>
        <v>54500</v>
      </c>
      <c r="H7" s="82">
        <f>SUBTOTAL(109,Table5[Total Gap])</f>
        <v>94000</v>
      </c>
    </row>
    <row r="11" spans="1:9">
      <c r="A11" s="172" t="s">
        <v>223</v>
      </c>
      <c r="B11" s="172"/>
      <c r="C11" s="172"/>
      <c r="D11" s="172"/>
      <c r="E11" s="172"/>
      <c r="F11" s="172"/>
      <c r="G11" s="172"/>
      <c r="H11" s="172"/>
      <c r="I11" s="172"/>
    </row>
    <row r="12" spans="1:9" ht="15.6">
      <c r="A12" s="96" t="s">
        <v>232</v>
      </c>
      <c r="B12" s="97"/>
      <c r="C12" s="97"/>
      <c r="D12" s="97"/>
      <c r="E12" s="97"/>
      <c r="F12" s="97"/>
      <c r="G12" s="97"/>
      <c r="H12" s="97"/>
      <c r="I12" s="97"/>
    </row>
    <row r="13" spans="1:9">
      <c r="A13" s="175" t="s">
        <v>226</v>
      </c>
      <c r="B13" s="175"/>
      <c r="C13" s="175"/>
      <c r="D13" s="175"/>
      <c r="E13" s="175"/>
      <c r="F13" s="175"/>
      <c r="G13" s="175"/>
      <c r="H13" s="175"/>
    </row>
    <row r="14" spans="1:9" ht="36" customHeight="1">
      <c r="A14" s="93" t="s">
        <v>224</v>
      </c>
      <c r="B14" s="173" t="s">
        <v>299</v>
      </c>
      <c r="C14" s="174"/>
      <c r="D14" s="174"/>
      <c r="E14" s="174"/>
      <c r="F14" s="174"/>
      <c r="G14" s="174"/>
      <c r="H14" s="174"/>
    </row>
    <row r="15" spans="1:9" ht="12.6" customHeight="1">
      <c r="A15" s="90"/>
      <c r="B15" s="91"/>
      <c r="C15" s="91"/>
      <c r="D15" s="91"/>
      <c r="E15" s="91"/>
      <c r="F15" s="91"/>
      <c r="G15" s="91"/>
      <c r="H15" s="92"/>
    </row>
    <row r="16" spans="1:9">
      <c r="A16" s="176" t="s">
        <v>225</v>
      </c>
      <c r="B16" s="176"/>
      <c r="C16" s="176"/>
      <c r="D16" s="176"/>
      <c r="E16" s="176"/>
      <c r="F16" s="176"/>
      <c r="G16" s="176"/>
    </row>
    <row r="17" spans="1:8" ht="28.8" customHeight="1">
      <c r="A17" s="94" t="s">
        <v>227</v>
      </c>
      <c r="B17" s="173" t="s">
        <v>300</v>
      </c>
      <c r="C17" s="174"/>
      <c r="D17" s="174"/>
      <c r="E17" s="174"/>
      <c r="F17" s="174"/>
      <c r="G17" s="174"/>
      <c r="H17" s="174"/>
    </row>
    <row r="19" spans="1:8" ht="15" customHeight="1">
      <c r="A19" s="176" t="s">
        <v>228</v>
      </c>
      <c r="B19" s="176"/>
      <c r="C19" s="176"/>
      <c r="D19" s="176"/>
      <c r="E19" s="176"/>
      <c r="F19" s="176"/>
      <c r="G19" s="176"/>
      <c r="H19" s="95"/>
    </row>
    <row r="20" spans="1:8" ht="37.200000000000003" customHeight="1">
      <c r="A20" s="94" t="s">
        <v>229</v>
      </c>
      <c r="B20" s="173" t="s">
        <v>301</v>
      </c>
      <c r="C20" s="174"/>
      <c r="D20" s="174"/>
      <c r="E20" s="174"/>
      <c r="F20" s="174"/>
      <c r="G20" s="174"/>
      <c r="H20" s="174"/>
    </row>
    <row r="22" spans="1:8" ht="15.6">
      <c r="A22" s="96" t="s">
        <v>233</v>
      </c>
    </row>
    <row r="23" spans="1:8" ht="14.4" customHeight="1">
      <c r="A23" s="176" t="s">
        <v>230</v>
      </c>
      <c r="B23" s="176"/>
      <c r="C23" s="176"/>
      <c r="D23" s="176"/>
      <c r="E23" s="176"/>
      <c r="F23" s="176"/>
      <c r="G23" s="176"/>
      <c r="H23" s="95"/>
    </row>
    <row r="24" spans="1:8" ht="36.6" customHeight="1">
      <c r="A24" s="94" t="s">
        <v>231</v>
      </c>
      <c r="B24" s="173" t="s">
        <v>302</v>
      </c>
      <c r="C24" s="174"/>
      <c r="D24" s="174"/>
      <c r="E24" s="174"/>
      <c r="F24" s="174"/>
      <c r="G24" s="174"/>
      <c r="H24" s="174"/>
    </row>
    <row r="25" spans="1:8">
      <c r="A25" s="176" t="s">
        <v>295</v>
      </c>
      <c r="B25" s="176"/>
      <c r="C25" s="176"/>
      <c r="D25" s="176"/>
      <c r="E25" s="176"/>
      <c r="F25" s="176"/>
      <c r="G25" s="176"/>
    </row>
    <row r="26" spans="1:8" ht="31.2" customHeight="1">
      <c r="A26" s="94" t="s">
        <v>234</v>
      </c>
      <c r="B26" s="173" t="s">
        <v>303</v>
      </c>
      <c r="C26" s="174"/>
      <c r="D26" s="174"/>
      <c r="E26" s="174"/>
      <c r="F26" s="174"/>
      <c r="G26" s="174"/>
    </row>
  </sheetData>
  <mergeCells count="12">
    <mergeCell ref="A25:G25"/>
    <mergeCell ref="B26:G26"/>
    <mergeCell ref="A16:G16"/>
    <mergeCell ref="B17:H17"/>
    <mergeCell ref="A19:G19"/>
    <mergeCell ref="B20:H20"/>
    <mergeCell ref="A23:G23"/>
    <mergeCell ref="A1:H1"/>
    <mergeCell ref="A11:I11"/>
    <mergeCell ref="B14:H14"/>
    <mergeCell ref="A13:H13"/>
    <mergeCell ref="B24:H24"/>
  </mergeCells>
  <phoneticPr fontId="6" type="noConversion"/>
  <conditionalFormatting sqref="G3:G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{42DA19D9-71A4-4D32-80BC-57197F30AE18}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2DA19D9-71A4-4D32-80BC-57197F30AE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G3:G6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2FF97-B931-41FD-9581-2E4465D3BBF7}">
  <dimension ref="A1:N28"/>
  <sheetViews>
    <sheetView zoomScale="98" zoomScaleNormal="68" workbookViewId="0">
      <selection activeCell="B26" sqref="B26"/>
    </sheetView>
  </sheetViews>
  <sheetFormatPr defaultRowHeight="14.4"/>
  <cols>
    <col min="1" max="1" width="5.77734375" customWidth="1"/>
    <col min="2" max="2" width="15.77734375" customWidth="1"/>
    <col min="3" max="4" width="15.21875" customWidth="1"/>
    <col min="5" max="5" width="15.88671875" customWidth="1"/>
    <col min="6" max="9" width="15.21875" customWidth="1"/>
    <col min="10" max="10" width="25" customWidth="1"/>
    <col min="11" max="11" width="11.6640625" bestFit="1" customWidth="1"/>
    <col min="12" max="12" width="17.77734375" customWidth="1"/>
    <col min="13" max="13" width="18.21875" customWidth="1"/>
  </cols>
  <sheetData>
    <row r="1" spans="1:13" ht="45" customHeight="1">
      <c r="A1" s="165" t="s">
        <v>256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</row>
    <row r="3" spans="1:13">
      <c r="B3" t="s">
        <v>243</v>
      </c>
    </row>
    <row r="4" spans="1:13" ht="33.6" customHeight="1">
      <c r="B4" s="100" t="s">
        <v>167</v>
      </c>
      <c r="C4" s="100" t="s">
        <v>168</v>
      </c>
      <c r="D4" s="100" t="s">
        <v>241</v>
      </c>
      <c r="E4" s="100" t="s">
        <v>235</v>
      </c>
      <c r="F4" s="100" t="s">
        <v>236</v>
      </c>
      <c r="G4" s="100" t="s">
        <v>237</v>
      </c>
      <c r="H4" s="100" t="s">
        <v>238</v>
      </c>
      <c r="I4" s="100" t="s">
        <v>239</v>
      </c>
      <c r="J4" s="100" t="s">
        <v>242</v>
      </c>
    </row>
    <row r="5" spans="1:13">
      <c r="B5" s="101">
        <f>Table5[[#Totals],[ Total Beds ]]</f>
        <v>120</v>
      </c>
      <c r="C5" s="101">
        <f>Table5[[#Totals],[ Active Residents ]]</f>
        <v>11</v>
      </c>
      <c r="D5" s="102">
        <f>Table5[[#Totals],[Occupancy Rate]]</f>
        <v>9.1666666666666674E-2</v>
      </c>
      <c r="E5" s="122">
        <f>Table5[[#Totals],[Total Monthly Rent Collectible]]</f>
        <v>113000</v>
      </c>
      <c r="F5" s="103">
        <f>Table5[[#Totals],[ Total Rent Collected ]]</f>
        <v>155500</v>
      </c>
      <c r="G5" s="103">
        <f>Table5[[#Totals],[ Total Outstanding ]]</f>
        <v>54500</v>
      </c>
      <c r="H5" s="122">
        <f>Table5[[#Totals],[Total Gap]]</f>
        <v>94000</v>
      </c>
      <c r="I5" s="101">
        <f>COUNTIF(RESIDENT_CLEAN[Deposit Paid],"No")</f>
        <v>4</v>
      </c>
      <c r="J5" s="104">
        <f>Table5[[#Totals],[ Total Rent Collected ]]/(Table5[[#Totals],[ Total Rent Collected ]]+Table5[[#Totals],[ Total Outstanding ]])</f>
        <v>0.74047619047619051</v>
      </c>
    </row>
    <row r="8" spans="1:13">
      <c r="B8" t="s">
        <v>244</v>
      </c>
    </row>
    <row r="9" spans="1:13" ht="39.6">
      <c r="B9" s="85" t="s">
        <v>58</v>
      </c>
      <c r="C9" s="85" t="s">
        <v>167</v>
      </c>
      <c r="D9" s="85" t="s">
        <v>168</v>
      </c>
      <c r="E9" s="85" t="s">
        <v>245</v>
      </c>
      <c r="F9" s="85" t="s">
        <v>246</v>
      </c>
      <c r="G9" s="85" t="s">
        <v>247</v>
      </c>
      <c r="H9" s="85" t="s">
        <v>248</v>
      </c>
      <c r="I9" s="85" t="s">
        <v>249</v>
      </c>
      <c r="J9" s="85" t="s">
        <v>250</v>
      </c>
      <c r="K9" s="85" t="s">
        <v>251</v>
      </c>
    </row>
    <row r="10" spans="1:13" ht="19.8" customHeight="1">
      <c r="B10" s="105" t="s">
        <v>2</v>
      </c>
      <c r="C10" cm="1">
        <f t="array" ref="C10:I13">Table5[[ Total Beds ]:[Total Gap]]</f>
        <v>30</v>
      </c>
      <c r="D10">
        <v>1</v>
      </c>
      <c r="E10" s="3">
        <v>3.3333333333333333E-2</v>
      </c>
      <c r="F10" s="121">
        <v>12000</v>
      </c>
      <c r="G10" s="121">
        <v>54000</v>
      </c>
      <c r="H10" s="121">
        <v>6000</v>
      </c>
      <c r="I10" s="121">
        <v>24000</v>
      </c>
      <c r="J10">
        <f>COUNTIFS(TICKETS[Property],SUMMARY!B10,TICKETS[Status],"Open")</f>
        <v>3</v>
      </c>
      <c r="K10">
        <v>3</v>
      </c>
    </row>
    <row r="11" spans="1:13">
      <c r="B11" s="105" t="s">
        <v>8</v>
      </c>
      <c r="C11">
        <v>30</v>
      </c>
      <c r="D11">
        <v>4</v>
      </c>
      <c r="E11" s="3">
        <v>0.13333333333333333</v>
      </c>
      <c r="F11" s="121">
        <v>36500</v>
      </c>
      <c r="G11" s="121">
        <v>53000</v>
      </c>
      <c r="H11" s="121">
        <v>0</v>
      </c>
      <c r="I11" s="121">
        <v>38000</v>
      </c>
      <c r="J11">
        <f>COUNTIFS(TICKETS[Property],SUMMARY!B11,TICKETS[Status],"Open")</f>
        <v>2</v>
      </c>
      <c r="K11">
        <v>2</v>
      </c>
    </row>
    <row r="12" spans="1:13">
      <c r="B12" s="105" t="s">
        <v>17</v>
      </c>
      <c r="C12">
        <v>30</v>
      </c>
      <c r="D12">
        <v>3</v>
      </c>
      <c r="E12" s="3">
        <v>0.1</v>
      </c>
      <c r="F12" s="121">
        <v>33000</v>
      </c>
      <c r="G12" s="121">
        <v>33000</v>
      </c>
      <c r="H12" s="121">
        <v>22000</v>
      </c>
      <c r="I12" s="121">
        <v>11000</v>
      </c>
      <c r="J12">
        <f>COUNTIFS(TICKETS[Property],SUMMARY!B12,TICKETS[Status],"Open")</f>
        <v>3</v>
      </c>
      <c r="K12">
        <v>2</v>
      </c>
    </row>
    <row r="13" spans="1:13" ht="18" customHeight="1">
      <c r="B13" s="105" t="s">
        <v>26</v>
      </c>
      <c r="C13">
        <v>30</v>
      </c>
      <c r="D13">
        <v>3</v>
      </c>
      <c r="E13" s="3">
        <v>0.1</v>
      </c>
      <c r="F13" s="121">
        <v>31500</v>
      </c>
      <c r="G13" s="121">
        <v>15500</v>
      </c>
      <c r="H13" s="121">
        <v>26500</v>
      </c>
      <c r="I13" s="121">
        <v>21000</v>
      </c>
      <c r="J13">
        <f>COUNTIFS(TICKETS[Property],SUMMARY!B13,TICKETS[Status],"Open")</f>
        <v>2</v>
      </c>
      <c r="K13">
        <v>2</v>
      </c>
    </row>
    <row r="14" spans="1:13">
      <c r="B14" s="106"/>
    </row>
    <row r="16" spans="1:13">
      <c r="A16" s="86"/>
      <c r="B16" s="164" t="s">
        <v>254</v>
      </c>
      <c r="C16" s="164"/>
      <c r="D16" s="164"/>
      <c r="E16" s="86"/>
      <c r="F16" s="86"/>
      <c r="G16" s="86"/>
      <c r="H16" s="86"/>
      <c r="I16" s="86"/>
      <c r="J16" s="86"/>
      <c r="K16" s="86"/>
      <c r="L16" s="86"/>
    </row>
    <row r="17" spans="1:14">
      <c r="A17">
        <v>1</v>
      </c>
      <c r="B17" s="108" t="s">
        <v>252</v>
      </c>
      <c r="C17" s="108"/>
      <c r="D17" s="108"/>
      <c r="E17" s="108"/>
      <c r="F17" s="108"/>
      <c r="G17" s="108"/>
      <c r="H17" s="108"/>
      <c r="I17" s="108"/>
      <c r="J17" s="108"/>
      <c r="K17" s="108"/>
    </row>
    <row r="18" spans="1:14" ht="30.6" customHeight="1">
      <c r="B18" s="162" t="s">
        <v>304</v>
      </c>
      <c r="C18" s="162"/>
      <c r="D18" s="162"/>
      <c r="E18" s="162"/>
      <c r="F18" s="162"/>
      <c r="G18" s="162"/>
      <c r="H18" s="162"/>
      <c r="I18" s="162"/>
      <c r="J18" s="162"/>
      <c r="K18" s="162"/>
      <c r="L18" s="162"/>
    </row>
    <row r="20" spans="1:14" ht="19.8" customHeight="1">
      <c r="A20">
        <v>2</v>
      </c>
      <c r="B20" s="108" t="s">
        <v>253</v>
      </c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</row>
    <row r="21" spans="1:14" ht="31.2" customHeight="1">
      <c r="B21" s="162" t="s">
        <v>305</v>
      </c>
      <c r="C21" s="162"/>
      <c r="D21" s="162"/>
      <c r="E21" s="162"/>
      <c r="F21" s="162"/>
      <c r="G21" s="162"/>
      <c r="H21" s="162"/>
      <c r="I21" s="162"/>
      <c r="J21" s="162"/>
      <c r="K21" s="162"/>
    </row>
    <row r="23" spans="1:14" ht="14.4" customHeight="1">
      <c r="A23">
        <v>3</v>
      </c>
      <c r="B23" s="108" t="s">
        <v>255</v>
      </c>
      <c r="C23" s="108"/>
      <c r="D23" s="108"/>
      <c r="E23" s="108"/>
      <c r="F23" s="108"/>
      <c r="G23" s="108"/>
      <c r="H23" s="108"/>
      <c r="I23" s="108"/>
      <c r="J23" s="108"/>
      <c r="K23" s="108"/>
    </row>
    <row r="24" spans="1:14" ht="117" customHeight="1">
      <c r="B24" s="163" t="s">
        <v>313</v>
      </c>
      <c r="C24" s="163"/>
      <c r="D24" s="163"/>
      <c r="E24" s="163"/>
      <c r="F24" s="163"/>
      <c r="G24" s="163"/>
      <c r="H24" s="163"/>
      <c r="I24" s="163"/>
      <c r="J24" s="163"/>
      <c r="K24" s="163"/>
    </row>
    <row r="28" spans="1:14">
      <c r="C28" s="107"/>
    </row>
  </sheetData>
  <mergeCells count="5">
    <mergeCell ref="B21:K21"/>
    <mergeCell ref="B24:K24"/>
    <mergeCell ref="B18:L18"/>
    <mergeCell ref="B16:D16"/>
    <mergeCell ref="A1:M1"/>
  </mergeCells>
  <dataValidations disablePrompts="1" count="1">
    <dataValidation type="list" allowBlank="1" showInputMessage="1" showErrorMessage="1" sqref="I10" xr:uid="{8C4BE89F-FCF9-4F98-816A-3EC0F36EF2E8}">
      <formula1>#REF!</formula1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7FB-B27E-4695-9C83-0C26E5070900}">
  <dimension ref="A1:O50"/>
  <sheetViews>
    <sheetView showGridLines="0" tabSelected="1" zoomScale="51" workbookViewId="0">
      <selection activeCell="R24" sqref="R24"/>
    </sheetView>
  </sheetViews>
  <sheetFormatPr defaultRowHeight="14.4"/>
  <cols>
    <col min="1" max="1" width="13" customWidth="1"/>
    <col min="2" max="2" width="16.5546875" bestFit="1" customWidth="1"/>
    <col min="3" max="3" width="14.21875" bestFit="1" customWidth="1"/>
    <col min="4" max="4" width="6.44140625" customWidth="1"/>
    <col min="5" max="5" width="14.6640625" bestFit="1" customWidth="1"/>
    <col min="6" max="6" width="14.21875" bestFit="1" customWidth="1"/>
    <col min="7" max="7" width="5.21875" customWidth="1"/>
    <col min="8" max="8" width="18.33203125" customWidth="1"/>
    <col min="9" max="9" width="14.21875" bestFit="1" customWidth="1"/>
    <col min="10" max="10" width="20.44140625" customWidth="1"/>
    <col min="11" max="11" width="16.21875" customWidth="1"/>
    <col min="12" max="12" width="17.44140625" bestFit="1" customWidth="1"/>
    <col min="14" max="14" width="11.6640625" bestFit="1" customWidth="1"/>
    <col min="15" max="15" width="14.5546875" bestFit="1" customWidth="1"/>
  </cols>
  <sheetData>
    <row r="1" spans="1:15" ht="31.2" customHeight="1">
      <c r="A1" s="177" t="s">
        <v>287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</row>
    <row r="4" spans="1:15" ht="35.4" customHeight="1">
      <c r="B4" s="185" t="s">
        <v>168</v>
      </c>
      <c r="E4" s="185" t="s">
        <v>237</v>
      </c>
      <c r="H4" s="185" t="s">
        <v>238</v>
      </c>
      <c r="K4" s="186" t="s">
        <v>240</v>
      </c>
      <c r="N4" t="s">
        <v>262</v>
      </c>
      <c r="O4" t="s">
        <v>263</v>
      </c>
    </row>
    <row r="5" spans="1:15" ht="15.6">
      <c r="B5" s="118">
        <f>SUMMARY!C5</f>
        <v>11</v>
      </c>
      <c r="E5" s="119">
        <f>SUMMARY!G5</f>
        <v>54500</v>
      </c>
      <c r="H5" s="118">
        <f>SUMMARY!H5</f>
        <v>94000</v>
      </c>
      <c r="K5" s="120">
        <f>SUMMARY!J5</f>
        <v>0.74047619047619051</v>
      </c>
      <c r="N5" t="s">
        <v>26</v>
      </c>
      <c r="O5" s="3">
        <v>0.36904761904761907</v>
      </c>
    </row>
    <row r="6" spans="1:15">
      <c r="N6" t="s">
        <v>17</v>
      </c>
      <c r="O6" s="3">
        <v>0.6</v>
      </c>
    </row>
    <row r="7" spans="1:15" ht="21">
      <c r="A7" s="181" t="s">
        <v>276</v>
      </c>
      <c r="B7" s="181"/>
      <c r="C7" s="181"/>
      <c r="D7" s="181"/>
      <c r="E7" s="181"/>
      <c r="F7" s="181"/>
      <c r="G7" s="181"/>
      <c r="H7" s="181"/>
      <c r="I7" s="181"/>
      <c r="J7" s="181"/>
      <c r="K7" s="181"/>
      <c r="L7" s="181"/>
      <c r="N7" t="s">
        <v>2</v>
      </c>
      <c r="O7" s="3">
        <v>0.9</v>
      </c>
    </row>
    <row r="8" spans="1:15">
      <c r="N8" t="s">
        <v>8</v>
      </c>
      <c r="O8" s="3">
        <v>1</v>
      </c>
    </row>
    <row r="9" spans="1:15" ht="15.6">
      <c r="B9" s="109" t="s">
        <v>2</v>
      </c>
      <c r="C9" s="101"/>
      <c r="E9" s="109" t="s">
        <v>8</v>
      </c>
      <c r="F9" s="101"/>
      <c r="H9" s="109" t="s">
        <v>17</v>
      </c>
      <c r="I9" s="101"/>
      <c r="K9" s="109" t="s">
        <v>26</v>
      </c>
      <c r="L9" s="101"/>
    </row>
    <row r="10" spans="1:15">
      <c r="B10" s="101" t="s">
        <v>257</v>
      </c>
      <c r="C10" s="110">
        <f>SUMMARY!E10</f>
        <v>3.3333333333333333E-2</v>
      </c>
      <c r="E10" s="101" t="s">
        <v>257</v>
      </c>
      <c r="F10" s="115">
        <f>SUMMARY!E11</f>
        <v>0.13333333333333333</v>
      </c>
      <c r="H10" s="101" t="s">
        <v>257</v>
      </c>
      <c r="I10" s="115">
        <f>SUMMARY!E12</f>
        <v>0.1</v>
      </c>
      <c r="K10" s="101" t="s">
        <v>257</v>
      </c>
      <c r="L10" s="115">
        <f>SUMMARY!E13</f>
        <v>0.1</v>
      </c>
      <c r="N10" t="s">
        <v>8</v>
      </c>
      <c r="O10" s="121">
        <v>0</v>
      </c>
    </row>
    <row r="11" spans="1:15">
      <c r="B11" s="101" t="s">
        <v>258</v>
      </c>
      <c r="C11" s="111">
        <f>SUMMARY!D10</f>
        <v>1</v>
      </c>
      <c r="E11" s="101" t="s">
        <v>258</v>
      </c>
      <c r="F11" s="114">
        <f>SUMMARY!D11</f>
        <v>4</v>
      </c>
      <c r="H11" s="101" t="s">
        <v>258</v>
      </c>
      <c r="I11" s="114">
        <f>SUMMARY!D12</f>
        <v>3</v>
      </c>
      <c r="K11" s="101" t="s">
        <v>258</v>
      </c>
      <c r="L11" s="114">
        <f>SUMMARY!D13</f>
        <v>3</v>
      </c>
      <c r="N11" t="s">
        <v>2</v>
      </c>
      <c r="O11" s="121">
        <v>6000</v>
      </c>
    </row>
    <row r="12" spans="1:15">
      <c r="B12" s="101" t="s">
        <v>259</v>
      </c>
      <c r="C12" s="112">
        <f>SUMMARY!H10</f>
        <v>6000</v>
      </c>
      <c r="E12" s="101" t="s">
        <v>259</v>
      </c>
      <c r="F12" s="116">
        <f>SUMMARY!H11</f>
        <v>0</v>
      </c>
      <c r="H12" s="101" t="s">
        <v>259</v>
      </c>
      <c r="I12" s="117">
        <f>SUMMARY!H12</f>
        <v>22000</v>
      </c>
      <c r="K12" s="101" t="s">
        <v>259</v>
      </c>
      <c r="L12" s="123">
        <f>SUMMARY!H13</f>
        <v>26500</v>
      </c>
      <c r="N12" t="s">
        <v>17</v>
      </c>
      <c r="O12" s="121">
        <v>22000</v>
      </c>
    </row>
    <row r="13" spans="1:15">
      <c r="B13" s="101" t="s">
        <v>164</v>
      </c>
      <c r="C13" s="112">
        <f>SUMMARY!I10</f>
        <v>24000</v>
      </c>
      <c r="E13" s="101" t="s">
        <v>164</v>
      </c>
      <c r="F13" s="112">
        <f>SUMMARY!I11</f>
        <v>38000</v>
      </c>
      <c r="H13" s="101" t="s">
        <v>164</v>
      </c>
      <c r="I13" s="125">
        <f>SUMMARY!I12</f>
        <v>11000</v>
      </c>
      <c r="K13" s="101" t="s">
        <v>164</v>
      </c>
      <c r="L13" s="124">
        <f>SUMMARY!I13</f>
        <v>21000</v>
      </c>
      <c r="N13" t="s">
        <v>26</v>
      </c>
      <c r="O13" s="121">
        <v>26500</v>
      </c>
    </row>
    <row r="14" spans="1:15">
      <c r="B14" s="101" t="s">
        <v>260</v>
      </c>
      <c r="C14" s="113">
        <f>SUMMARY!G10/(SUMMARY!G10+SUMMARY!H10)</f>
        <v>0.9</v>
      </c>
      <c r="E14" s="101" t="s">
        <v>260</v>
      </c>
      <c r="F14" s="113">
        <f>SUMMARY!G11/(SUMMARY!G11+SUMMARY!H11)</f>
        <v>1</v>
      </c>
      <c r="H14" s="101" t="s">
        <v>260</v>
      </c>
      <c r="I14" s="115">
        <f>SUMMARY!G12/(SUMMARY!G12+SUMMARY!H12)</f>
        <v>0.6</v>
      </c>
      <c r="K14" s="101" t="s">
        <v>260</v>
      </c>
      <c r="L14" s="110">
        <f>SUMMARY!G13/(SUMMARY!G13+SUMMARY!H13)</f>
        <v>0.36904761904761907</v>
      </c>
    </row>
    <row r="15" spans="1:15">
      <c r="B15" s="101" t="s">
        <v>250</v>
      </c>
      <c r="C15" s="114">
        <f>SUMMARY!J10</f>
        <v>3</v>
      </c>
      <c r="E15" s="101" t="s">
        <v>250</v>
      </c>
      <c r="F15" s="114">
        <f>SUMMARY!J11</f>
        <v>2</v>
      </c>
      <c r="H15" s="101" t="s">
        <v>250</v>
      </c>
      <c r="I15" s="114">
        <f>SUMMARY!J12</f>
        <v>3</v>
      </c>
      <c r="K15" s="101" t="s">
        <v>250</v>
      </c>
      <c r="L15" s="114">
        <f>SUMMARY!J13</f>
        <v>2</v>
      </c>
    </row>
    <row r="16" spans="1:15">
      <c r="B16" s="101" t="s">
        <v>261</v>
      </c>
      <c r="C16" s="111">
        <f>SUMMARY!K10</f>
        <v>3</v>
      </c>
      <c r="E16" s="101" t="s">
        <v>261</v>
      </c>
      <c r="F16" s="114">
        <f>SUMMARY!K11</f>
        <v>2</v>
      </c>
      <c r="H16" s="101" t="s">
        <v>261</v>
      </c>
      <c r="I16" s="114">
        <f>SUMMARY!K12</f>
        <v>2</v>
      </c>
      <c r="K16" s="101" t="s">
        <v>261</v>
      </c>
      <c r="L16" s="114">
        <f>SUMMARY!K13</f>
        <v>2</v>
      </c>
    </row>
    <row r="18" spans="8:12">
      <c r="H18" s="182" t="s">
        <v>277</v>
      </c>
      <c r="I18" s="182"/>
      <c r="J18" s="182"/>
      <c r="K18" s="182"/>
    </row>
    <row r="19" spans="8:12">
      <c r="H19" s="128"/>
      <c r="I19" s="128"/>
    </row>
    <row r="20" spans="8:12">
      <c r="H20" s="127" t="s">
        <v>99</v>
      </c>
      <c r="I20" s="127" t="s">
        <v>58</v>
      </c>
      <c r="J20" s="127" t="s">
        <v>101</v>
      </c>
      <c r="K20" s="127" t="s">
        <v>166</v>
      </c>
      <c r="L20" s="127" t="s">
        <v>165</v>
      </c>
    </row>
    <row r="21" spans="8:12">
      <c r="H21" s="101" t="s">
        <v>110</v>
      </c>
      <c r="I21" s="101" t="s">
        <v>8</v>
      </c>
      <c r="J21" s="101" t="s">
        <v>266</v>
      </c>
      <c r="K21" s="101">
        <v>97</v>
      </c>
      <c r="L21" s="101" t="s">
        <v>125</v>
      </c>
    </row>
    <row r="22" spans="8:12">
      <c r="H22" s="101" t="s">
        <v>116</v>
      </c>
      <c r="I22" s="101" t="s">
        <v>17</v>
      </c>
      <c r="J22" s="101" t="s">
        <v>267</v>
      </c>
      <c r="K22" s="101">
        <v>92</v>
      </c>
      <c r="L22" s="101" t="s">
        <v>125</v>
      </c>
    </row>
    <row r="23" spans="8:12">
      <c r="H23" s="101" t="s">
        <v>121</v>
      </c>
      <c r="I23" s="101" t="s">
        <v>2</v>
      </c>
      <c r="J23" s="101" t="s">
        <v>268</v>
      </c>
      <c r="K23" s="101">
        <v>76</v>
      </c>
      <c r="L23" s="101" t="s">
        <v>125</v>
      </c>
    </row>
    <row r="24" spans="8:12">
      <c r="H24" s="101" t="s">
        <v>123</v>
      </c>
      <c r="I24" s="101" t="s">
        <v>8</v>
      </c>
      <c r="J24" s="101" t="s">
        <v>269</v>
      </c>
      <c r="K24" s="101">
        <v>71</v>
      </c>
      <c r="L24" s="101" t="s">
        <v>125</v>
      </c>
    </row>
    <row r="25" spans="8:12">
      <c r="H25" s="101" t="s">
        <v>129</v>
      </c>
      <c r="I25" s="101" t="s">
        <v>26</v>
      </c>
      <c r="J25" s="101" t="s">
        <v>270</v>
      </c>
      <c r="K25" s="101">
        <v>50</v>
      </c>
      <c r="L25" s="101" t="s">
        <v>125</v>
      </c>
    </row>
    <row r="26" spans="8:12">
      <c r="H26" s="101" t="s">
        <v>132</v>
      </c>
      <c r="I26" s="101" t="s">
        <v>2</v>
      </c>
      <c r="J26" s="101" t="s">
        <v>271</v>
      </c>
      <c r="K26" s="101">
        <v>41</v>
      </c>
      <c r="L26" s="101" t="s">
        <v>125</v>
      </c>
    </row>
    <row r="27" spans="8:12">
      <c r="H27" s="101" t="s">
        <v>136</v>
      </c>
      <c r="I27" s="101" t="s">
        <v>17</v>
      </c>
      <c r="J27" s="101" t="s">
        <v>272</v>
      </c>
      <c r="K27" s="101">
        <v>31</v>
      </c>
      <c r="L27" s="101" t="s">
        <v>125</v>
      </c>
    </row>
    <row r="28" spans="8:12">
      <c r="H28" s="101" t="s">
        <v>138</v>
      </c>
      <c r="I28" s="101" t="s">
        <v>26</v>
      </c>
      <c r="J28" s="101" t="s">
        <v>273</v>
      </c>
      <c r="K28" s="101">
        <v>26</v>
      </c>
      <c r="L28" s="101" t="s">
        <v>264</v>
      </c>
    </row>
    <row r="29" spans="8:12">
      <c r="H29" s="101" t="s">
        <v>140</v>
      </c>
      <c r="I29" s="101" t="s">
        <v>2</v>
      </c>
      <c r="J29" s="101" t="s">
        <v>274</v>
      </c>
      <c r="K29" s="101">
        <v>19</v>
      </c>
      <c r="L29" s="101" t="s">
        <v>264</v>
      </c>
    </row>
    <row r="30" spans="8:12">
      <c r="H30" s="101" t="s">
        <v>145</v>
      </c>
      <c r="I30" s="101" t="s">
        <v>17</v>
      </c>
      <c r="J30" s="101" t="s">
        <v>275</v>
      </c>
      <c r="K30" s="101">
        <v>10</v>
      </c>
      <c r="L30" s="126" t="s">
        <v>265</v>
      </c>
    </row>
    <row r="33" spans="2:11">
      <c r="H33" s="183" t="s">
        <v>278</v>
      </c>
      <c r="I33" s="183"/>
      <c r="J33" s="183"/>
    </row>
    <row r="34" spans="2:11">
      <c r="H34" s="127" t="s">
        <v>279</v>
      </c>
      <c r="I34" s="127" t="s">
        <v>58</v>
      </c>
      <c r="J34" s="127" t="s">
        <v>199</v>
      </c>
    </row>
    <row r="35" spans="2:11">
      <c r="H35" s="101" t="s">
        <v>280</v>
      </c>
      <c r="I35" s="101" t="s">
        <v>2</v>
      </c>
      <c r="J35" s="132">
        <v>24000</v>
      </c>
    </row>
    <row r="36" spans="2:11">
      <c r="H36" s="101" t="s">
        <v>282</v>
      </c>
      <c r="I36" s="101" t="s">
        <v>283</v>
      </c>
      <c r="J36" s="122">
        <v>21000</v>
      </c>
      <c r="K36" s="129"/>
    </row>
    <row r="37" spans="2:11">
      <c r="H37" s="101" t="s">
        <v>286</v>
      </c>
      <c r="I37" s="130" t="s">
        <v>8</v>
      </c>
      <c r="J37" s="132">
        <v>19000</v>
      </c>
    </row>
    <row r="38" spans="2:11" ht="23.4">
      <c r="B38" s="179" t="s">
        <v>288</v>
      </c>
      <c r="C38" s="179"/>
      <c r="D38" s="179"/>
      <c r="E38" s="179"/>
      <c r="F38" s="179"/>
      <c r="H38" s="101" t="s">
        <v>281</v>
      </c>
      <c r="I38" s="131" t="s">
        <v>8</v>
      </c>
      <c r="J38" s="122">
        <v>19000</v>
      </c>
    </row>
    <row r="39" spans="2:11">
      <c r="B39" s="135" t="s">
        <v>8</v>
      </c>
      <c r="C39" s="135"/>
      <c r="D39" s="135"/>
      <c r="E39" s="135"/>
      <c r="F39" s="135"/>
      <c r="H39" s="101" t="s">
        <v>284</v>
      </c>
      <c r="I39" s="101" t="s">
        <v>285</v>
      </c>
      <c r="J39" s="122">
        <v>11000</v>
      </c>
    </row>
    <row r="40" spans="2:11" ht="15" thickBot="1">
      <c r="B40" s="134" t="s">
        <v>289</v>
      </c>
      <c r="C40" s="134"/>
      <c r="D40" s="134"/>
      <c r="E40" s="134"/>
      <c r="F40" s="134"/>
      <c r="H40" s="133" t="s">
        <v>199</v>
      </c>
      <c r="J40" s="40">
        <f>SUM(J35:J39)</f>
        <v>94000</v>
      </c>
    </row>
    <row r="41" spans="2:11" ht="15" thickTop="1"/>
    <row r="42" spans="2:11">
      <c r="B42" s="180" t="s">
        <v>26</v>
      </c>
      <c r="C42" s="180"/>
      <c r="D42" s="180"/>
      <c r="E42" s="180"/>
      <c r="F42" s="180"/>
    </row>
    <row r="43" spans="2:11" ht="15" thickBot="1">
      <c r="B43" s="134" t="s">
        <v>290</v>
      </c>
      <c r="C43" s="134"/>
      <c r="D43" s="134"/>
      <c r="E43" s="134"/>
      <c r="F43" s="134"/>
    </row>
    <row r="44" spans="2:11" ht="15" thickTop="1"/>
    <row r="45" spans="2:11">
      <c r="B45" s="180" t="s">
        <v>2</v>
      </c>
      <c r="C45" s="180"/>
      <c r="D45" s="180"/>
      <c r="E45" s="180"/>
      <c r="F45" s="180"/>
    </row>
    <row r="46" spans="2:11" ht="15" thickBot="1">
      <c r="B46" s="134" t="s">
        <v>291</v>
      </c>
      <c r="C46" s="134"/>
      <c r="D46" s="134"/>
      <c r="E46" s="134"/>
      <c r="F46" s="134"/>
    </row>
    <row r="47" spans="2:11" ht="21" customHeight="1" thickTop="1"/>
    <row r="48" spans="2:11">
      <c r="B48" s="180" t="s">
        <v>17</v>
      </c>
      <c r="C48" s="180"/>
      <c r="D48" s="180"/>
      <c r="E48" s="180"/>
      <c r="F48" s="180"/>
    </row>
    <row r="49" spans="2:6" ht="15" thickBot="1">
      <c r="B49" s="134" t="s">
        <v>294</v>
      </c>
      <c r="C49" s="134"/>
      <c r="D49" s="134"/>
      <c r="E49" s="134"/>
      <c r="F49" s="134"/>
    </row>
    <row r="50" spans="2:6" ht="15" thickTop="1"/>
  </sheetData>
  <sortState xmlns:xlrd2="http://schemas.microsoft.com/office/spreadsheetml/2017/richdata2" ref="H35:J39">
    <sortCondition descending="1" ref="J35:J39"/>
  </sortState>
  <mergeCells count="8">
    <mergeCell ref="A1:L1"/>
    <mergeCell ref="B38:F38"/>
    <mergeCell ref="B48:F48"/>
    <mergeCell ref="B45:F45"/>
    <mergeCell ref="B42:F42"/>
    <mergeCell ref="A7:L7"/>
    <mergeCell ref="H18:K18"/>
    <mergeCell ref="H33:J33"/>
  </mergeCells>
  <conditionalFormatting sqref="H34:J3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{CCCD6224-CC10-408F-A567-BFC336951287}</x14:id>
        </ext>
      </extLst>
    </cfRule>
  </conditionalFormatting>
  <conditionalFormatting sqref="L20:L30">
    <cfRule type="containsText" dxfId="2" priority="3" operator="containsText" text="Critical">
      <formula>NOT(ISERROR(SEARCH("Critical",L20)))</formula>
    </cfRule>
  </conditionalFormatting>
  <conditionalFormatting sqref="L21:L30">
    <cfRule type="containsText" dxfId="1" priority="2" operator="containsText" text="Overdue">
      <formula>NOT(ISERROR(SEARCH("Overdue",L21)))</formula>
    </cfRule>
  </conditionalFormatting>
  <printOptions verticalCentered="1" headings="1"/>
  <pageMargins left="0.23622047244094491" right="0" top="0.74803149606299213" bottom="0.74803149606299213" header="0.31496062992125984" footer="0.31496062992125984"/>
  <pageSetup paperSize="12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CCD6224-CC10-408F-A567-BFC3369512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H34:J39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��� � � � 
</file>

<file path=customXml/item5.xml>��
</file>

<file path=customXml/item6.xml>��
</file>

<file path=customXml/item7.xml>��
</file>

<file path=customXml/item8.xml>��� � � � � � � � � � � � � � � � � � � � � � � � � � � � � � � � � � � � � � � � � � 
</file>

<file path=customXml/item9.xml>��
</file>

<file path=customXml/item10.xml>��
</file>

<file path=customXml/item11.xml>��� � 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��� � � 
</file>

<file path=customXml/item19.xml>��
</file>

<file path=customXml/itemProps1.xml><?xml version="1.0" encoding="utf-8"?>
<ds:datastoreItem xmlns:ds="http://schemas.openxmlformats.org/officeDocument/2006/customXml" ds:itemID="{15645CD8-3D4B-43E1-9EBA-4960BC85F260}">
  <ds:schemaRefs/>
</ds:datastoreItem>
</file>

<file path=customXml/itemProps2.xml><?xml version="1.0" encoding="utf-8"?>
<ds:datastoreItem xmlns:ds="http://schemas.openxmlformats.org/officeDocument/2006/customXml" ds:itemID="{95EDB8CA-78C9-49FE-9F6A-B82EF49004BD}">
  <ds:schemaRefs/>
</ds:datastoreItem>
</file>

<file path=customXml/itemProps3.xml><?xml version="1.0" encoding="utf-8"?>
<ds:datastoreItem xmlns:ds="http://schemas.openxmlformats.org/officeDocument/2006/customXml" ds:itemID="{A247011F-EF43-4004-9C74-E7A4A7B809D3}">
  <ds:schemaRefs/>
</ds:datastoreItem>
</file>

<file path=customXml/itemProps4.xml><?xml version="1.0" encoding="utf-8"?>
<ds:datastoreItem xmlns:ds="http://schemas.openxmlformats.org/officeDocument/2006/customXml" ds:itemID="{64FE89FB-8274-4CEA-8940-F7F96CD126EF}">
  <ds:schemaRefs/>
</ds:datastoreItem>
</file>

<file path=customXml/itemProps5.xml><?xml version="1.0" encoding="utf-8"?>
<ds:datastoreItem xmlns:ds="http://schemas.openxmlformats.org/officeDocument/2006/customXml" ds:itemID="{D5AE53F6-7539-4142-8121-D46C4BDA2B1A}">
  <ds:schemaRefs/>
</ds:datastoreItem>
</file>

<file path=customXml/itemProps6.xml><?xml version="1.0" encoding="utf-8"?>
<ds:datastoreItem xmlns:ds="http://schemas.openxmlformats.org/officeDocument/2006/customXml" ds:itemID="{76390369-944C-4172-BD90-F3AA37F9358E}">
  <ds:schemaRefs>
    <ds:schemaRef ds:uri="http://schemas.microsoft.com/DataMashup"/>
  </ds:schemaRefs>
</ds:datastoreItem>
</file>

<file path=customXml/itemProps7.xml><?xml version="1.0" encoding="utf-8"?>
<ds:datastoreItem xmlns:ds="http://schemas.openxmlformats.org/officeDocument/2006/customXml" ds:itemID="{47C3C50A-6CF2-4DB4-B950-B0C85FDC9222}">
  <ds:schemaRefs/>
</ds:datastoreItem>
</file>

<file path=customXml/itemProps8.xml><?xml version="1.0" encoding="utf-8"?>
<ds:datastoreItem xmlns:ds="http://schemas.openxmlformats.org/officeDocument/2006/customXml" ds:itemID="{97CC6398-60D0-40AA-8D30-E95CD99C9407}">
  <ds:schemaRefs/>
</ds:datastoreItem>
</file>

<file path=customXml/itemProps9.xml><?xml version="1.0" encoding="utf-8"?>
<ds:datastoreItem xmlns:ds="http://schemas.openxmlformats.org/officeDocument/2006/customXml" ds:itemID="{A91C7A1A-D51A-4859-AB16-FC353DF9D3A6}">
  <ds:schemaRefs/>
</ds:datastoreItem>
</file>

<file path=customXml/itemProps10.xml><?xml version="1.0" encoding="utf-8"?>
<ds:datastoreItem xmlns:ds="http://schemas.openxmlformats.org/officeDocument/2006/customXml" ds:itemID="{47490526-98C9-491D-8A5C-7FB6670E3E38}">
  <ds:schemaRefs/>
</ds:datastoreItem>
</file>

<file path=customXml/itemProps11.xml><?xml version="1.0" encoding="utf-8"?>
<ds:datastoreItem xmlns:ds="http://schemas.openxmlformats.org/officeDocument/2006/customXml" ds:itemID="{E65CF10B-DA11-4A50-865F-130BC8639699}">
  <ds:schemaRefs/>
</ds:datastoreItem>
</file>

<file path=customXml/itemProps12.xml><?xml version="1.0" encoding="utf-8"?>
<ds:datastoreItem xmlns:ds="http://schemas.openxmlformats.org/officeDocument/2006/customXml" ds:itemID="{1289725A-062C-449A-8EA7-52F0829F74A4}">
  <ds:schemaRefs/>
</ds:datastoreItem>
</file>

<file path=customXml/itemProps13.xml><?xml version="1.0" encoding="utf-8"?>
<ds:datastoreItem xmlns:ds="http://schemas.openxmlformats.org/officeDocument/2006/customXml" ds:itemID="{FBE2C203-75A2-49DA-B0D6-4E72E82A892A}">
  <ds:schemaRefs/>
</ds:datastoreItem>
</file>

<file path=customXml/itemProps14.xml><?xml version="1.0" encoding="utf-8"?>
<ds:datastoreItem xmlns:ds="http://schemas.openxmlformats.org/officeDocument/2006/customXml" ds:itemID="{1057818C-D52D-4ADD-84A8-C60533375B4C}">
  <ds:schemaRefs/>
</ds:datastoreItem>
</file>

<file path=customXml/itemProps15.xml><?xml version="1.0" encoding="utf-8"?>
<ds:datastoreItem xmlns:ds="http://schemas.openxmlformats.org/officeDocument/2006/customXml" ds:itemID="{D86288C5-D6C2-449D-9CF9-76B9A62E7C8F}">
  <ds:schemaRefs/>
</ds:datastoreItem>
</file>

<file path=customXml/itemProps16.xml><?xml version="1.0" encoding="utf-8"?>
<ds:datastoreItem xmlns:ds="http://schemas.openxmlformats.org/officeDocument/2006/customXml" ds:itemID="{2C91A432-E0B1-4BB5-8B0B-CA28421CEE86}">
  <ds:schemaRefs/>
</ds:datastoreItem>
</file>

<file path=customXml/itemProps17.xml><?xml version="1.0" encoding="utf-8"?>
<ds:datastoreItem xmlns:ds="http://schemas.openxmlformats.org/officeDocument/2006/customXml" ds:itemID="{94E71408-30D5-4BF2-8B5B-82EA91139A89}">
  <ds:schemaRefs/>
</ds:datastoreItem>
</file>

<file path=customXml/itemProps18.xml><?xml version="1.0" encoding="utf-8"?>
<ds:datastoreItem xmlns:ds="http://schemas.openxmlformats.org/officeDocument/2006/customXml" ds:itemID="{20FB3943-7464-477E-964B-18FF4AA5ECAA}">
  <ds:schemaRefs/>
</ds:datastoreItem>
</file>

<file path=customXml/itemProps19.xml><?xml version="1.0" encoding="utf-8"?>
<ds:datastoreItem xmlns:ds="http://schemas.openxmlformats.org/officeDocument/2006/customXml" ds:itemID="{822DDDD5-F3B2-4A9E-A648-09437513151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RESIDENTS</vt:lpstr>
      <vt:lpstr>RESIDENTS_CLEAN</vt:lpstr>
      <vt:lpstr>PAYMENTS</vt:lpstr>
      <vt:lpstr>TICKETS</vt:lpstr>
      <vt:lpstr>ERROR_LOG</vt:lpstr>
      <vt:lpstr>REVENUE_SUMMARY</vt:lpstr>
      <vt:lpstr>SUMMARY</vt:lpstr>
      <vt:lpstr>DASHBOARD1</vt:lpstr>
      <vt:lpstr>DASHBOARD1!Print_Area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Marathe</dc:creator>
  <cp:lastModifiedBy>Pavan Marathe</cp:lastModifiedBy>
  <cp:lastPrinted>2026-04-12T07:07:38Z</cp:lastPrinted>
  <dcterms:created xsi:type="dcterms:W3CDTF">2026-04-06T08:07:22Z</dcterms:created>
  <dcterms:modified xsi:type="dcterms:W3CDTF">2026-04-12T07:14:34Z</dcterms:modified>
</cp:coreProperties>
</file>